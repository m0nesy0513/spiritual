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565fca8db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6528010c24fc42de"/>
    <x:sheet xmlns:r="http://schemas.openxmlformats.org/officeDocument/2006/relationships" name="案例地图" sheetId="2" r:id="Reb0cb979e3204d99"/>
    <x:sheet xmlns:r="http://schemas.openxmlformats.org/officeDocument/2006/relationships" name="来源索引" sheetId="3" r:id="R2bfaec4ecee04778"/>
    <x:sheet xmlns:r="http://schemas.openxmlformats.org/officeDocument/2006/relationships" name="写作边界" sheetId="4" r:id="Ra26547b92ae745c3"/>
    <x:sheet xmlns:r="http://schemas.openxmlformats.org/officeDocument/2006/relationships" name="质量检查" sheetId="5" r:id="Ree3d7c016e69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E4F78"/>
      <x:name val="Carlito"/>
    </x:font>
    <x:font>
      <x:b/>
      <x:sz val="11"/>
      <x:color rgb="FFFFFFFF"/>
      <x:name val="Carlito"/>
    </x:font>
    <x:font>
      <x:sz val="10"/>
      <x:color rgb="FF222D47"/>
      <x:name val="Carlito"/>
    </x:font>
    <x:font>
      <x:b/>
      <x:sz val="10"/>
      <x:color rgb="FF3E4F78"/>
      <x:name val="Carlito"/>
    </x:font>
    <x:font>
      <x:b/>
      <x:sz val="11"/>
      <x:color rgb="FF3E4F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E4F78"/>
      </x:patternFill>
    </x:fill>
    <x:fill>
      <x:patternFill patternType="solid">
        <x:fgColor rgb="FFE7EC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f0ab9cf6d4715" /><Relationship Type="http://schemas.openxmlformats.org/officeDocument/2006/relationships/theme" Target="/xl/theme/theme1.xml" Id="R5afed5001ee74747" /><Relationship Type="http://schemas.openxmlformats.org/officeDocument/2006/relationships/sharedStrings" Target="/xl/sharedStrings.xml" Id="R9dc24f2211574e43" /><Relationship Type="http://schemas.openxmlformats.org/officeDocument/2006/relationships/worksheet" Target="/xl/worksheets/sheet1.xml" Id="R6528010c24fc42de" /><Relationship Type="http://schemas.openxmlformats.org/officeDocument/2006/relationships/worksheet" Target="/xl/worksheets/sheet2.xml" Id="Reb0cb979e3204d99" /><Relationship Type="http://schemas.openxmlformats.org/officeDocument/2006/relationships/worksheet" Target="/xl/worksheets/sheet3.xml" Id="R2bfaec4ecee04778" /><Relationship Type="http://schemas.openxmlformats.org/officeDocument/2006/relationships/worksheet" Target="/xl/worksheets/sheet4.xml" Id="Ra26547b92ae745c3" /><Relationship Type="http://schemas.openxmlformats.org/officeDocument/2006/relationships/worksheet" Target="/xl/worksheets/sheet5.xml" Id="Ree3d7c016e6948cb" /></Relationships>
</file>

<file path=xl/tables/table1.xml><?xml version="1.0" encoding="utf-8"?>
<x:table xmlns:x="http://schemas.openxmlformats.org/spreadsheetml/2006/main" id="1" name="TypicalCasesImportTable" displayName="TypicalCasesImportTable" ref="A3:G19" headerRowCount="1">
  <x:tableColumns count="7">
    <x:tableColumn id="1" name="title"/>
    <x:tableColumn id="2" name="category"/>
    <x:tableColumn id="3" name="body"/>
    <x:tableColumn id="4" name="tags"/>
    <x:tableColumn id="5" name="applicable_scene"/>
    <x:tableColumn id="6" name="source_note"/>
    <x:tableColumn id="7" name="is_home_recommended"/>
  </x:tableColumns>
  <x:tableStyleInfo name="TableStyleMedium2" showRowStripes="1"/>
</x:table>
</file>

<file path=xl/tables/table2.xml><?xml version="1.0" encoding="utf-8"?>
<x:table xmlns:x="http://schemas.openxmlformats.org/spreadsheetml/2006/main" id="2" name="TypicalCasesSourceTable" displayName="TypicalCasesSourceTable" ref="A3:G21" headerRowCount="1">
  <x:tableColumns count="7">
    <x:tableColumn id="1" name="编号"/>
    <x:tableColumn id="2" name="作者 / 年份"/>
    <x:tableColumn id="3" name="完整题名"/>
    <x:tableColumn id="4" name="期刊 / 来源"/>
    <x:tableColumn id="5" name="证据类型"/>
    <x:tableColumn id="6" name="主要支持主题"/>
    <x:tableColumn id="7" name="稳定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042a87e841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3fc6e2cf374157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82" hidden="0" customWidth="1"/>
    <x:col min="4" max="4" width="30" hidden="0" customWidth="1"/>
    <x:col min="5" max="5" width="48" hidden="0" customWidth="1"/>
    <x:col min="6" max="6" width="57" hidden="0" customWidth="1"/>
    <x:col min="7" max="7" width="18" hidden="0" customWidth="1"/>
  </x:cols>
  <x:sheetData>
    <x:row r="1" ht="32" customHeight="1">
      <x:c r="A1" s="5" t="str">
        <x:v>社交媒体焦虑知识库｜典型案例</x:v>
      </x:c>
      <x:c r="B1" s="5"/>
      <x:c r="C1" s="5"/>
      <x:c r="D1" s="5"/>
      <x:c r="E1" s="5"/>
      <x:c r="F1" s="5"/>
      <x:c r="G1" s="5"/>
    </x:row>
    <x:row r="2" ht="28" customHeight="1">
      <x:c r="A2" s="13" t="str">
        <x:v>共 16 条虚构案例；正文为 Markdown；category 固定为“典型案例”；首页推荐 4 条（25%）。</x:v>
      </x:c>
      <x:c r="B2" s="13"/>
      <x:c r="C2" s="13"/>
      <x:c r="D2" s="13"/>
      <x:c r="E2" s="13"/>
      <x:c r="F2" s="13"/>
      <x:c r="G2" s="13"/>
    </x:row>
    <x:row r="3">
      <x:c r="A3" s="21" t="str">
        <x:v>title</x:v>
      </x:c>
      <x:c r="B3" s="21" t="str">
        <x:v>category</x:v>
      </x:c>
      <x:c r="C3" s="21" t="str">
        <x:v>body</x:v>
      </x:c>
      <x:c r="D3" s="21" t="str">
        <x:v>tags</x:v>
      </x:c>
      <x:c r="E3" s="21" t="str">
        <x:v>applicable_scene</x:v>
      </x:c>
      <x:c r="F3" s="21" t="str">
        <x:v>source_note</x:v>
      </x:c>
      <x:c r="G3" s="21" t="str">
        <x:v>is_home_recommended</x:v>
      </x:c>
    </x:row>
    <x:row r="4" ht="138" customHeight="1">
      <x:c r="A4" s="80" t="str">
        <x:v>案例：看到同学上岸后，小林觉得自己的人生停住了</x:v>
      </x:c>
      <x:c r="B4" s="86" t="str">
        <x:v>典型案例</x:v>
      </x:c>
      <x:c r="C4" s="45" t="str">
        <x:v>## 案例背景
小林正在准备研究生考试。晚上休息时，他连续刷到三位高中同学发布录取、实习和旅行动态。几分钟后，他把手机扔到一边，却再也看不进书。
## 触发链
- **事实**：三位同学发布了近期成果。
- **自动想法**：“同龄人都已经进入下一阶段，只有我还在原地。”
- **情绪**：焦虑、羞耻、嫉妒和前途感下降。
- **行为**：继续搜索更多“上岸帖”，随后制定极端学习表，又因无法完成而自暴自弃。
## 容易忽略的机制
熟人和同龄人是更有冲击力的参照对象；信息流还会把不同人的高光压缩到同一晚，制造“所有人同时成功”的错觉。小林没有看到这些人的等待、资源、失败和日常，也把三个案例扩大成了整个群体。
## 调整过程
小林先停止继续搜同类内容，写下事实与解释。他把“所有人都领先”改成“我今晚看到了三个人的成果，自己的考试尚未完成”。之后他整理了过去三个月的进步证据，只保留第二天能完成的两个学习任务，并将相关账号静音一周。
## 结果与提醒
焦虑没有立即归零，但小林重新开始学习，也不再用一个晚上的信息流判决全部人生。案例中的调整并不证明比较一定是错误的，而是让外部成果回到有限信息的位置。
## 案例边界
本案例为虚构情境，不构成对任何人的诊断。持续严重的失眠、功能受损或抑郁需要专业评估。</x:v>
      </x:c>
      <x:c r="D4" s="45" t="str">
        <x:v>同龄比较,上岸焦虑,人生进度,熟人圈</x:v>
      </x:c>
      <x:c r="E4" s="45" t="str">
        <x:v>刷到同学升学、就业或其他人生进展后，觉得自己被整个同龄群体落下时。</x:v>
      </x:c>
      <x:c r="F4" s="45" t="str">
        <x:v>参考：Festinger，1954；Vogel等，2014；McComb等，2023向上比较元分析。</x:v>
      </x:c>
      <x:c r="G4" s="92" t="str">
        <x:v>是</x:v>
      </x:c>
    </x:row>
    <x:row r="5" ht="138" customHeight="1">
      <x:c r="A5" s="81" t="str">
        <x:v>案例：健身视频刷了一小时，阿宁开始讨厌自己的身体</x:v>
      </x:c>
      <x:c r="B5" s="87" t="str">
        <x:v>典型案例</x:v>
      </x:c>
      <x:c r="C5" s="48" t="str">
        <x:v>## 案例背景
阿宁原本只是想搜索一个肩颈拉伸动作，平台随后连续推荐身材展示、体脂挑战和“七天变化”视频。她照镜子时突然觉得自己的腿、皮肤和腰线都无法接受。
## 触发链
- **事实**：她连续接触了大量经过筛选的身体图像。
- **自动想法**：“正常人都应该是这样的，我的身体说明我不自律。”
- **情绪**：羞耻、焦虑和身体厌恶。
- **行为**：反复照镜子、搜索极端节食方案，并取消了第二天与朋友的见面。
## 容易忽略的机制
高颜值和健身内容通常包含构图、姿势、光线、筛选与商业目的；高频推荐还会让少数审美模板显得极其普遍。阿宁把“看见很多”误认成“现实中大多数人都是这样”，又把外貌状态道德化为意志品质。
## 调整过程
她先停止镜前检查，把触发账号静音，并写下三项身体功能：走路、跳舞和拥抱朋友。第二天，她没有开始惩罚性节食，而是恢复正常吃饭和原定见面。之后每周练习两次身体中性描述，不强迫自己立刻喜欢外貌。
## 结果与提醒
她仍会羡慕某些身材，但不再把这种羡慕直接变成对身体的攻击。重点不是说所有图片都虚假，而是承认屏幕提供的是高度选择后的审美样本。
## 案例边界
若出现持续限制进食、暴食、催吐、频繁称重或明显身体检查，应尽快寻求进食障碍或身体意象专业支持。</x:v>
      </x:c>
      <x:c r="D5" s="48" t="str">
        <x:v>身体意象,健身内容,外貌比较,身体功能</x:v>
      </x:c>
      <x:c r="E5" s="48" t="str">
        <x:v>搜索健康内容后被大量身材展示包围，开始讨厌身体或产生极端饮食冲动时。</x:v>
      </x:c>
      <x:c r="F5" s="48" t="str">
        <x:v>参考：Tiggemann与Zaccardo，2015；Gobin等，2022；Gordon等，2021。</x:v>
      </x:c>
      <x:c r="G5" s="93" t="str">
        <x:v>是</x:v>
      </x:c>
    </x:row>
    <x:row r="6" ht="138" customHeight="1">
      <x:c r="A6" s="81" t="str">
        <x:v>案例：消息显示已读，小周在脑中完成了一次分手</x:v>
      </x:c>
      <x:c r="B6" s="87" t="str">
        <x:v>典型案例</x:v>
      </x:c>
      <x:c r="C6" s="48" t="str">
        <x:v>## 案例背景
小周向伴侣发了一段关于近期委屈的长消息。软件显示已经阅读，但两个小时没有回复。期间，他看到对方给共同好友的动态点了赞。
## 触发链
- **事实**：消息已读、暂未回复，对方完成过其他线上互动。
- **自动想法**：“他有时间点赞却不回我，说明他故意惩罚我，已经不爱我了。”
- **情绪**：恐慌、愤怒、屈辱和被抛弃感。
- **行为**：不断查看在线状态，连续补发消息，最后写下分手长文。
## 容易忽略的机制
即时通讯提供了活动痕迹，却没有提供对方的情绪容量、环境和回复计划。小周用最威胁性的解释填补信息空白，并把短时延迟扩展成对整段关系的判决。
## 调整过程
他先把分手长文留在草稿中，使用三句事实卡：“消息已读；原因未知；今晚不必决定关系结局。”之后列出几种替代解释，并约定十分钟后再检查手机。伴侣晚些时候说明需要整理情绪再回应。第二天，两人讨论了长消息的回复方式和紧急联系边界。
## 结果与提醒
小周学会区分“对方的延迟让我难受”和“延迟已经证明关系结束”。替代解释不等于替对方找借口；若长期冷暴力或控制确实存在，仍需要现实边界。
## 案例边界
案例不用于判断依恋类型或诊断关系。反复出现的强烈恐慌、控制检查或关系伤害可考虑寻求专业支持。</x:v>
      </x:c>
      <x:c r="D6" s="48" t="str">
        <x:v>已读不回,关系焦虑,读心术,延迟回应</x:v>
      </x:c>
      <x:c r="E6" s="48" t="str">
        <x:v>重要的人没有及时回复，而对方其他在线痕迹让你迅速推断关系已经破裂时。</x:v>
      </x:c>
      <x:c r="F6" s="48" t="str">
        <x:v>参考：Curtiss等，2021认知重构；NICE CG159关于负面解释和行为实验。</x:v>
      </x:c>
      <x:c r="G6" s="93" t="str">
        <x:v>是</x:v>
      </x:c>
    </x:row>
    <x:row r="7" ht="138" customHeight="1">
      <x:c r="A7" s="81" t="str">
        <x:v>案例：群聊无人回应，小孟决定以后再也不说话</x:v>
      </x:c>
      <x:c r="B7" s="87" t="str">
        <x:v>典型案例</x:v>
      </x:c>
      <x:c r="C7" s="48" t="str">
        <x:v>## 案例背景
小孟在班级群提议周末一起打球。消息发出后两个小时无人回应，随后老师发布通知，把他的消息顶了上去。
## 触发链
- **事实**：群里暂时没有人回应邀约。
- **自动想法**：“大家都觉得我自作多情，我在这个班没有朋友。”
- **情绪**：羞耻、尴尬和社交退缩。
- **行为**：反复点开群聊，想撤回却超过时间，之后在线下也回避同学。
## 容易忽略的机制
群聊沉默可能来自责任扩散、时间不合适、消息被覆盖或成员不知道是否能参加。数字界面会把沉默长期固定在屏幕上，让小孟感觉自己正在被所有人公开围观。
## 调整过程
小孟把“没人回应”与“所有人否定我”分开，列出多个可能原因。他私下问了一位熟悉同学，对方说当时在上课，后来忘记回复。小孟没有重新群发自嘲，而是把邀约改成具体时间和地点，再询问三位可能参加的人。
## 结果与提醒
最后只有两个人参加，但这次经历不再被理解为全班的集体拒绝。小孟也发现，具体邀约比宽泛提议更容易得到回应。
## 案例边界
如果群体中存在持续、明确和有组织的排挤，不能只用认知调整解释，应保留证据并向学校、单位或可信任的人求助。</x:v>
      </x:c>
      <x:c r="D7" s="48" t="str">
        <x:v>群聊冷场,社交尴尬,排斥预期,责任扩散</x:v>
      </x:c>
      <x:c r="E7" s="48" t="str">
        <x:v>在群里发言或邀约无人回应后，决定彻底退出群体和现实社交时。</x:v>
      </x:c>
      <x:c r="F7" s="48" t="str">
        <x:v>参考：NICE CG159社会焦虑CBT；Curtiss等，2021认知和行为方法。</x:v>
      </x:c>
      <x:c r="G7" s="93" t="str">
        <x:v>否</x:v>
      </x:c>
    </x:row>
    <x:row r="8" ht="138" customHeight="1">
      <x:c r="A8" s="81" t="str">
        <x:v>案例：自律博主的早晨，让雨桐放弃了当天学习</x:v>
      </x:c>
      <x:c r="B8" s="87" t="str">
        <x:v>典型案例</x:v>
      </x:c>
      <x:c r="C8" s="48" t="str">
        <x:v>## 案例背景
期末周，雨桐早上睡过头，打开平台后刷到“凌晨五点起床、晨跑、背单词、连续学习十二小时”的视频。她觉得自己已经失去当天翻盘的资格。
## 触发链
- **事实**：她晚起了，也看到一段高度压缩的自律内容。
- **自动想法**：“真正优秀的人不会浪费早晨；我今天已经失败。”
- **情绪**：内疚、无力和学业焦虑。
- **行为**：制定从中午开始的高强度计划，迟迟不敢开始，最终继续刷视频。
## 容易忽略的机制
内容把漫长生活压缩为流畅镜头，也没有呈现休息、失败和拍摄成本。雨桐的非黑即白思维把“晚起”变成“整天作废”，完美标准反而增加回避。
## 调整过程
她写出三层标准：最低维持是复习一章；当前够好是完成两项重点；理想探索才是额外刷题。她把手机放到书桌外，先学习十五分钟，并在晚上记录“晚起后仍然重新开始”这项微小胜利。
## 结果与提醒
她没有完成极端计划，但完成了当天最重要的复习，也减少了“必须像视频一样完美才能开始”的条件。
## 案例边界
案例不否定规律作息和努力，也不意味着所有自律内容都是表演。关键在于是否把他人的展示直接转成对自己的最低要求。</x:v>
      </x:c>
      <x:c r="D8" s="48" t="str">
        <x:v>自律人设,学业焦虑,非黑即白,够好标准</x:v>
      </x:c>
      <x:c r="E8" s="48" t="str">
        <x:v>看到极致学习或自律内容后，因为自己没有完美开局而放弃整天计划时。</x:v>
      </x:c>
      <x:c r="F8" s="48" t="str">
        <x:v>参考：McComb等，2023向上比较元分析；Curtiss等，2021；Festinger，1954。</x:v>
      </x:c>
      <x:c r="G8" s="93" t="str">
        <x:v>否</x:v>
      </x:c>
    </x:row>
    <x:row r="9" ht="138" customHeight="1">
      <x:c r="A9" s="81" t="str">
        <x:v>案例：职场捷报刷满首页，老陈怀疑自己被行业淘汰</x:v>
      </x:c>
      <x:c r="B9" s="87" t="str">
        <x:v>典型案例</x:v>
      </x:c>
      <x:c r="C9" s="48" t="str">
        <x:v>## 案例背景
老陈刚经历项目失利，打开职场平台时连续看到前同事晋升、获得奖项和加入大公司的公告。他开始反复修改简历，却不敢真正投递。
## 触发链
- **事实**：多位联系人公开了职业成果。
- **自动想法**：“行业里所有人都在高速上升，只有我能力不足。”
- **情绪**：职业羞耻、焦虑和冒充者感。
- **行为**：长时间浏览他人履历，夸大自己的简介，同时回避实际求职和能力盘点。
## 容易忽略的机制
职场平台天然鼓励公开成果和专业身份管理；普通工作日、失败项目和停滞期较少成为公告。老陈把公开率较高的成功事件当成行业整体基线，又把宏观环境和岗位差异全部内归因。
## 调整过程
他停止继续浏览，做了一张责任饼图，加入市场环境、岗位匹配、项目资源和自身可改进部分。之后把求职拆成两项：向一位同行了解市场情况，完成一份针对岗位的真实简历，而不是继续美化公开主页。
## 结果与提醒
职业不确定仍然存在，但老陈开始处理现实问题，而不是通过浏览和包装确认价值。他也把职场平台的使用限定为信息搜索和联系人沟通。
## 案例边界
职场焦虑可能来自真实就业压力，不能全部归为认知偏差。现实资源、职业咨询和经济支持同样重要。</x:v>
      </x:c>
      <x:c r="D9" s="48" t="str">
        <x:v>职场比较,成就焦虑,冒充者感,问题解决</x:v>
      </x:c>
      <x:c r="E9" s="48" t="str">
        <x:v>职场平台中的晋升和成功公告让你怀疑自己已经失去行业竞争力时。</x:v>
      </x:c>
      <x:c r="F9" s="48" t="str">
        <x:v>参考：Festinger，1954；McComb等，2023；Curtiss等，2021问题解决与认知重构。</x:v>
      </x:c>
      <x:c r="G9" s="93" t="str">
        <x:v>否</x:v>
      </x:c>
    </x:row>
    <x:row r="10" ht="138" customHeight="1">
      <x:c r="A10" s="81" t="str">
        <x:v>案例：完美情侣视频让小雅把一次争吵理解成选错了人</x:v>
      </x:c>
      <x:c r="B10" s="87" t="str">
        <x:v>典型案例</x:v>
      </x:c>
      <x:c r="C10" s="48" t="str">
        <x:v>## 案例背景
小雅与伴侣因家务分配争吵。冷静期间，她刷到多个“被伴侣宠上天”的纪念日视频，开始觉得自己的关系处处失败。
## 触发链
- **事实**：两人有一次尚未解决的家务冲突。
- **自动想法**：“真正爱我的人不会让我受委屈；别人关系都比我的好。”
- **情绪**：失望、嫉妒、孤独和关系不安全感。
- **行为**：继续搜索情侣内容，翻旧账，并要求伴侣公开发动态证明爱意。
## 容易忽略的机制
公开视频更容易展示浪漫事件，而不是长期分工、冲突和修复过程。小雅把“别人展示的高光”与“自己的冲突时刻”直接比较，也用公开表达替代了具体需要。
## 调整过程
她先列出自己真正需要的是家务分工和被理解，而不是复刻视频。情绪下降后，两人讨论了具体任务，并约定每周一次检查分工。小雅将高触发情侣账号静音，同时建立关系支持证据簿，记录线下的可靠行为。
## 结果与提醒
一次争吵没有因此被美化，但问题从“伴侣不够像视频”变成了可以协商的现实分工。小雅也减少了用公开展示检验关系的习惯。
## 案例边界
若关系中存在暴力、威胁、控制或长期贬低，应优先考虑安全与专业支持，不能只靠比较调整维持关系。</x:v>
      </x:c>
      <x:c r="D10" s="48" t="str">
        <x:v>关系比较,情侣内容,需求表达,公开证明</x:v>
      </x:c>
      <x:c r="E10" s="48" t="str">
        <x:v>现实关系刚发生冲突，又刷到完美情侣内容，马上觉得自己选错了人时。</x:v>
      </x:c>
      <x:c r="F10" s="48" t="str">
        <x:v>参考：社会比较理论；McComb等，2023；Curtiss等，2021问题解决框架。</x:v>
      </x:c>
      <x:c r="G10" s="93" t="str">
        <x:v>否</x:v>
      </x:c>
    </x:row>
    <x:row r="11" ht="138" customHeight="1">
      <x:c r="A11" s="81" t="str">
        <x:v>案例：视频流量突然下跌，阿哲一夜刷新了两百次</x:v>
      </x:c>
      <x:c r="B11" s="87" t="str">
        <x:v>典型案例</x:v>
      </x:c>
      <x:c r="C11" s="48" t="str">
        <x:v>## 案例背景
阿哲经营知识类账号，一条投入很多时间的视频发布后，数据远低于过去平均值。他每隔几分钟刷新后台，直到凌晨仍无法入睡。
## 触发链
- **事实**：单条视频早期数据较低。
- **自动想法**：“账号被限流了，我已经失去创作能力和收入来源。”
- **情绪**：失控、羞耻、恐慌和职业不安全感。
- **行为**：频繁检查、删除重发、临时更改选题，第二天无法继续创作。
## 容易忽略的机制
平台分发具有不确定性，单条内容的早期样本也可能受主题、时段和受众匹配影响。实时数据界面把短期波动持续暴露给创作者，检查暂时缓解不确定，却又强化下一次检查。
## 调整过程
阿哲将后台查看改为每天三个固定窗口，只记录预先选定的完播、收藏和评论质量。他把“账号完了”写成待检验预测，等待足够样本后再复盘。创作时段手机不显示后台通知，异常情况才启用预警。
## 结果与提醒
数据最终没有达到预期，但阿哲能够区分“这条内容表现较差”和“我作为创作者彻底失败”。他据此调整选题，而不是用整晚刷新寻找安全感。
## 案例边界
依赖平台收入的人面临真实经济风险，个体心理技巧不能替代商业规划、多渠道收入和劳动保障。</x:v>
      </x:c>
      <x:c r="D11" s="48" t="str">
        <x:v>算法焦虑,创作者,数据刷新,职业压力</x:v>
      </x:c>
      <x:c r="E11" s="48" t="str">
        <x:v>作品早期数据不佳后，反复刷新后台并把一次波动理解为职业终结时。</x:v>
      </x:c>
      <x:c r="F11" s="48" t="str">
        <x:v>参考：Andreassen等，2017反馈依赖；Reinecke等，2018在线警觉；Curtiss等，2021。</x:v>
      </x:c>
      <x:c r="G11" s="93" t="str">
        <x:v>否</x:v>
      </x:c>
    </x:row>
    <x:row r="12" ht="138" customHeight="1">
      <x:c r="A12" s="81" t="str">
        <x:v>案例：灾难新闻越刷越多，小敏觉得世界已经没有安全处</x:v>
      </x:c>
      <x:c r="B12" s="87" t="str">
        <x:v>典型案例</x:v>
      </x:c>
      <x:c r="C12" s="48" t="str">
        <x:v>## 案例背景
一次重大灾害发生后，小敏从新闻进入短视频和评论区，又搜索了各种预测和现场画面。她连续几晚睡前刷新，白天也无法集中注意。
## 触发链
- **事实**：现实中发生了严重事件，网络上存在大量相关信息。
- **自动想法**：“灾难随时会发生在所有人身上，生活已经没有意义。”
- **情绪**：恐惧、无力、悲伤和内疚。
- **行为**：重复观看、通宵搜索、无法进行普通活动，并因自己仍能吃饭休息而自责。
## 容易忽略的机制
负面信息能够激活威胁监测，而平台会不断提供更新和更具冲击力的版本。不同地点、时间和来源的内容被压缩在同一屏幕，也会放大事件无处不在的感觉。
## 调整过程
小敏先用现实定向确认自己当下的位置和安全状况，随后只保留两个可靠信息源，每天固定两次查看。她停止观看未经核实的现场剪辑，并把关心转化为一项现实行动，例如核验后捐助或关注当地官方通知。
## 结果与提醒
悲伤仍然存在，但不再通过无休止围观维持。小敏能够在关注公共事件与保护自身功能之间建立边界。
## 案例边界
处在真实灾区的人需要优先遵循当地安全与应急信息。持续闪回、严重失眠或明显创伤反应应寻求专业帮助。</x:v>
      </x:c>
      <x:c r="D12" s="48" t="str">
        <x:v>末日刷屏,灾难信息,安全感,信息边界</x:v>
      </x:c>
      <x:c r="E12" s="48" t="str">
        <x:v>公共灾难发生后连续搜索现场画面和推测，越来越觉得世界不再安全时。</x:v>
      </x:c>
      <x:c r="F12" s="48" t="str">
        <x:v>参考：Satici等，2023；Taskin等，2024；末日刷屏与心理痛苦研究。</x:v>
      </x:c>
      <x:c r="G12" s="93" t="str">
        <x:v>是</x:v>
      </x:c>
    </x:row>
    <x:row r="13" ht="138" customHeight="1">
      <x:c r="A13" s="81" t="str">
        <x:v>案例：朋友聚会没叫安安，她把周末变成了调查行动</x:v>
      </x:c>
      <x:c r="B13" s="87" t="str">
        <x:v>典型案例</x:v>
      </x:c>
      <x:c r="C13" s="48" t="str">
        <x:v>## 案例背景
安安在家刷到朋友们的聚餐合照，自己没有被邀请。她立刻翻看每个人的动态，试图确认他们是否有另一个群。
## 触发链
- **事实**：一场聚会中没有安安。
- **自动想法**：“他们已经把我排除在朋友圈之外，我必须马上弄清楚。”
- **情绪**：嫉妒、落寞、焦虑和被抛弃感。
- **行为**：反复查看定位、合照和评论，发模糊动态试探，并取消了原本的个人安排。
## 容易忽略的机制
FOMO把缺席解释成归属威胁，并推动更多信息搜寻。搜索短期提供控制感，却可能不断扩大细节，使一场活动被理解为整个关系网络的秘密重组。
## 调整过程
安安先停止调查，给情绪命名为“被排除感和嫉妒”。她列出关系支持证据，确认这些朋友过去仍有联系。第二天，她直接问一位关系较近的人，得知聚会是临时讨论某个项目。她也保留了原定的运动安排，没有用整晚搜索证明自己的重要性。
## 结果与提醒
即使解释并不总是令人满意，安安开始学会把“我缺席了这一次”与“我从所有关系中被删除”分开。
## 案例边界
现实排挤确实可能存在。若多次明确被排除，应进行沟通、调整投入或建立新支持网络，而不是无限自我安慰。</x:v>
      </x:c>
      <x:c r="D13" s="48" t="str">
        <x:v>FOMO,聚会缺席,归属焦虑,反复搜索</x:v>
      </x:c>
      <x:c r="E13" s="48" t="str">
        <x:v>看到朋友聚会却没有自己，开始翻遍所有人的动态寻找排斥证据时。</x:v>
      </x:c>
      <x:c r="F13" s="48" t="str">
        <x:v>参考：Przybylski等，2013 FOMO研究；Curtiss等，2021；社会比较理论。</x:v>
      </x:c>
      <x:c r="G13" s="93" t="str">
        <x:v>否</x:v>
      </x:c>
    </x:row>
    <x:row r="14" ht="138" customHeight="1">
      <x:c r="A14" s="81" t="str">
        <x:v>案例：种草视频让小琪在付款前觉得“不买就落后”</x:v>
      </x:c>
      <x:c r="B14" s="87" t="str">
        <x:v>典型案例</x:v>
      </x:c>
      <x:c r="C14" s="48" t="str">
        <x:v>## 案例背景
小琪在深夜刷到一位喜欢的博主推荐新款相机。直播间反复强调限时价格和“记录精致生活必备”，她的预算却已经很紧张。
## 触发链
- **事实**：商品正在促销，博主展示了高质量成片。
- **自动想法**：“没有这台相机，我永远拍不出好内容，也显得不够专业。”
- **情绪**：兴奋、焦虑、匮乏感和错失恐惧。
- **行为**：打开分期付款，反复比较他人的设备，并忽略已有相机的实际使用情况。
## 容易忽略的机制
内容把产品与身份、创作能力和生活方式绑定；限时设计压缩了思考时间。小琪比较的是博主完成后的图像和自己的设备焦虑，却没有检查拍摄经验、合作利益和真实需求。
## 调整过程
她关闭免密支付，把商品放入24小时等待清单，并写下“我希望它证明什么”。第二天，她用现有设备完成一次拍摄测试，发现主要困难在构图和剪辑。她最终没有购买，把部分预算用于一门实际课程。
## 结果与提醒
这并不意味着新设备永远不值得买，而是把购买从身份抢救变成了预算和用途决策。
## 案例边界
若已出现无法控制的负债、隐瞒消费或持续冲动购物，需要财务和心理方面的进一步支持。
案例提醒：重点是识别相似的触发、想法与行为循环，不要求现实经历完全相同。</x:v>
      </x:c>
      <x:c r="D14" s="48" t="str">
        <x:v>种草消费,限时稀缺,身份焦虑,等待期</x:v>
      </x:c>
      <x:c r="E14" s="48" t="str">
        <x:v>社交媒体商品推荐让你觉得不立刻购买就会失去身份、能力或生活资格时。</x:v>
      </x:c>
      <x:c r="F14" s="48" t="str">
        <x:v>参考：套路拆解中的社会证明与稀缺机制；Przybylski等，2013 FOMO框架。</x:v>
      </x:c>
      <x:c r="G14" s="93" t="str">
        <x:v>否</x:v>
      </x:c>
    </x:row>
    <x:row r="15" ht="138" customHeight="1">
      <x:c r="A15" s="81" t="str">
        <x:v>案例：通讯录里有领导和家人，阿泽发什么都像在答辩</x:v>
      </x:c>
      <x:c r="B15" s="87" t="str">
        <x:v>典型案例</x:v>
      </x:c>
      <x:c r="C15" s="48" t="str">
        <x:v>## 案例背景
阿泽的朋友圈同时有同事、领导、客户、亲戚和好友。他想分享一张演出照片，却担心领导觉得不务正业、长辈觉得不稳重、客户觉得不专业。
## 触发链
- **事实**：同一条内容可能被不同关系的人看到。
- **自动想法**：“每个人都会从最不利的角度解释我，我必须让所有人都满意。”
- **情绪**：紧张、疲惫和表达窒息。
- **行为**：反复修改分组，最终删除内容，并大面积清理旧动态。
## 容易忽略的机制
网络把现实中原本分开的受众合并在同一空间。阿泽面对的是一个真实的界面和关系难题，但焦虑又进一步提出了不可能目标：完全控制所有人的理解。
## 调整过程
他把账号功能重新划分：公开账号主要放专业信息，私人内容只对较小熟人组可见；不敏感的日常允许存在一定误读。他还写下自己的发布底线，例如不泄露工作信息、不攻击他人，而不是预测每个人的看法。
## 结果与提醒
阿泽没有恢复无边界分享，而是形成了更符合关系现实的表达结构。减少发布也可以是合理选择，只要不是完全由恐惧决定。
## 案例边界
涉及职业保密、隐私或现实安全时，应遵守明确规则。案例不鼓励为了“克服焦虑”公开敏感信息。</x:v>
      </x:c>
      <x:c r="D15" s="48" t="str">
        <x:v>上下文崩溃,受众合并,表达焦虑,隐私边界</x:v>
      </x:c>
      <x:c r="E15" s="48" t="str">
        <x:v>朋友圈包含多种关系，发任何内容都担心被不同人误解时。</x:v>
      </x:c>
      <x:c r="F15" s="48" t="str">
        <x:v>参考：boyd与Marwick，2011网络公共空间隐私研究；NICE CG159。</x:v>
      </x:c>
      <x:c r="G15" s="93" t="str">
        <x:v>否</x:v>
      </x:c>
    </x:row>
    <x:row r="16" ht="138" customHeight="1">
      <x:c r="A16" s="81" t="str">
        <x:v>案例：手机没有响，小舟却每五分钟确认一次</x:v>
      </x:c>
      <x:c r="B16" s="87" t="str">
        <x:v>典型案例</x:v>
      </x:c>
      <x:c r="C16" s="48" t="str">
        <x:v>## 案例背景
小舟最近负责社团活动，也在等待实习通知。即使手机静音，他仍会不断解锁检查群聊和邮箱，吃饭时也无法听清朋友说话。
## 触发链
- **事实**：确实可能出现需要处理的消息，但多数时段没有新通知。
- **自动想法**：“如果我晚几分钟看到，就会错过机会或让所有人失望。”
- **情绪**：持续紧张和无法离线的不安全感。
- **行为**：高频解锁、任务切换、睡前检查，注意力长期处于后台监控。
## 容易忽略的机制
在线警觉不只表现为屏幕总时长，还包括脑中持续想着“网上有没有新情况”。每次检查可能短暂降低不确定，但也训练大脑把不检查理解为危险。
## 调整过程
小舟和社团明确了真正紧急事件使用电话，其他消息每天集中处理。学习时启用专注模式，每四十五分钟查看一次。他记录三天基线后逐步延长间隔，而不是一次完全关机。
## 结果与提醒
小舟仍会在重要结果前紧张，但能够区分必要值守和焦虑性监控。朋友交流和学习任务也不再被每次解锁切碎。
## 案例边界
真实值班、照护或紧急职责需要保留即时通道。若检查行为严重影响睡眠、学习或带有强迫性质，应寻求专业评估。
案例提醒：重点是识别相似的触发、想法与行为循环，不要求现实经历完全相同。</x:v>
      </x:c>
      <x:c r="D16" s="48" t="str">
        <x:v>在线警觉,反复检查,通知焦虑,专注模式</x:v>
      </x:c>
      <x:c r="E16" s="48" t="str">
        <x:v>即使没有提示，也不断确认消息，担心几分钟离线就会造成严重后果时。</x:v>
      </x:c>
      <x:c r="F16" s="48" t="str">
        <x:v>参考：Reinecke等，2018在线警觉量表；Yildirim与Correia，2015。</x:v>
      </x:c>
      <x:c r="G16" s="93" t="str">
        <x:v>否</x:v>
      </x:c>
    </x:row>
    <x:row r="17" ht="138" customHeight="1">
      <x:c r="A17" s="81" t="str">
        <x:v>案例：喜欢的博主突然停更，佳佳像失去了一位朋友</x:v>
      </x:c>
      <x:c r="B17" s="87" t="str">
        <x:v>典型案例</x:v>
      </x:c>
      <x:c r="C17" s="48" t="str">
        <x:v>## 案例背景
佳佳长期关注一位陪伴型博主。她在备考和失恋期间每天看直播，逐渐形成固定生活节奏。博主突然宣布无限期停更后，佳佳反复刷新旧账号，感到空洞和被抛弃。
## 触发链
- **事实**：稳定的内容和互动突然中断。
- **自动想法**：“我唯一理解我的人消失了，我以后没有地方可去。”
- **情绪**：哀伤、失落、愤怒和孤独。
- **行为**：反复看旧视频，在粉丝群寻找解释，并减少现实社交。
## 容易忽略的机制
拟社会关系是单向但可能真实投入情感的关系体验。摄像头直视、固定更新和直播回应会增强熟悉与陪伴感；中断后出现哀伤并不荒谬。但公开形象仍不是完整、互惠的现实关系。
## 调整过程
佳佳允许自己承认失落，而不是嘲笑自己“为陌生人难过”。她限制每天回看时间，整理博主曾给她的实际启发，同时联系了一位现实朋友恢复晚间散步。她没有强迫自己立刻取关，而是逐渐建立新的生活锚点。
## 结果与提醒
几周后，旧视频仍有意义，但不再承担她全部的情绪支持。佳佳把“这段陪伴对我真实”与“它不能替代互惠关系”同时保留下来。
## 案例边界
若中断引发长期严重抑郁、完全退出现实生活或自伤想法，应尽快寻求专业支持。</x:v>
      </x:c>
      <x:c r="D17" s="48" t="str">
        <x:v>拟社会关系,博主停更,丧失感,现实连接</x:v>
      </x:c>
      <x:c r="E17" s="48" t="str">
        <x:v>长期陪伴自己的博主、主播或虚拟角色停更后，感到像现实关系断裂一样痛苦时。</x:v>
      </x:c>
      <x:c r="F17" s="48" t="str">
        <x:v>参考：拟社会关系与自我呈现研究框架；自我同情和社会连接相关研究。</x:v>
      </x:c>
      <x:c r="G17" s="93" t="str">
        <x:v>否</x:v>
      </x:c>
    </x:row>
    <x:row r="18" ht="138" customHeight="1">
      <x:c r="A18" s="81" t="str">
        <x:v>案例：评论区争论结束了，维维的身体还在继续应战</x:v>
      </x:c>
      <x:c r="B18" s="87" t="str">
        <x:v>典型案例</x:v>
      </x:c>
      <x:c r="C18" s="48" t="str">
        <x:v>## 案例背景
维维在热点评论区与陌生人争论了两个小时。退出应用后，他仍咬紧牙、肩膀僵硬，脑中不断组织下一条反驳。
## 触发链
- **事实**：他与多个匿名账号发生了观点冲突。
- **自动想法**：“如果我不把他们说服，就是默认错误和恶意获胜。”
- **情绪**：愤怒、焦虑和强烈责任感。
- **行为**：持续刷新回复、搜索更多证据，线下交流时仍心不在焉。
## 容易忽略的机制
高冲突内容容易获得互动和可见度，评论区也缺少语气与关系背景。维维把“不再回复”理解成价值投降，使争论没有自然终点；身体则在内容结束后仍保持警报姿势。
## 调整过程
他先做肩膀、下颌和手掌放松，把要回复的内容留在草稿。十分钟后，他判断这场讨论没有明确目标，于是保存必要资料并退出。之后为热点设置固定查看窗口，只在能说明具体事实、且对方愿意交流时参与。
## 结果与提醒
维维并没有放弃公共表达，而是区分了表达价值和无限对线。他也发现，退出一场无效争论不等于承认失败。
## 案例边界
涉及明确仇恨、骚扰和威胁时，应使用平台举报、证据保存和现实支持，不必通过继续争论证明自己。
补充提醒：阅读案例时应寻找与自己相似的机制，而不是要求经历完全一致。 相似点可以是触发方式、自动想法、行为循环或现实边界。</x:v>
      </x:c>
      <x:c r="D18" s="48" t="str">
        <x:v>评论争论,观点冲突,身体警觉,延迟回应</x:v>
      </x:c>
      <x:c r="E18" s="48" t="str">
        <x:v>网络争论已经结束，身体和脑中却持续处在反驳与应战状态时。</x:v>
      </x:c>
      <x:c r="F18" s="48" t="str">
        <x:v>参考：情绪急救的身体放松与延迟回应；NICE CG159注意和安全行为框架。</x:v>
      </x:c>
      <x:c r="G18" s="93" t="str">
        <x:v>否</x:v>
      </x:c>
    </x:row>
    <x:row r="19" ht="138" customHeight="1">
      <x:c r="A19" s="82" t="str">
        <x:v>案例：十年前的旧帖子，让小珊害怕新工作毁于一旦</x:v>
      </x:c>
      <x:c r="B19" s="88" t="str">
        <x:v>典型案例</x:v>
      </x:c>
      <x:c r="C19" s="51" t="str">
        <x:v>## 案例背景
小珊即将入职新公司，偶然搜索自己的旧账号，发现十年前发表过幼稚、情绪化的帖子。她开始通宵删除所有历史痕迹，担心同事已经看到。
## 触发链
- **事实**：旧内容仍可被检索，其中部分表达与现在不同。
- **自动想法**：“只要有人看到，我的工作和关系都会彻底结束。”
- **情绪**：羞耻、恐慌和身份暴露感。
- **行为**：反复搜索姓名、删除账号、检查缓存和他人转发，无法完成入职准备。
## 容易忽略的机制
数字痕迹确实可能长期存在，担忧不是完全虚构；但小珊把“存在被看到的可能”迅速推成“所有人已经看到并会作最坏判断”。反复搜索又持续提供新的不确定性。
## 调整过程
她先区分必须处理和无法完全控制的部分：修改公开隐私设置、删除可管理内容、保存必要记录，不再无限搜索。她写出若被问及的简短回应：“那是多年以前的表达，我的观点和行为已经发生变化。”随后把注意转回入职材料。
## 结果与提醒
不确定性没有被彻底消除，但小珊不再以整夜检查换取短暂安全。她也承认成长意味着过去与现在可能不一致。
## 案例边界
若旧内容涉及真实法律、职业合规或他人隐私问题，应寻求专业法律或单位合规建议，不能只做心理调整。</x:v>
      </x:c>
      <x:c r="D19" s="51" t="str">
        <x:v>数字痕迹,黑历史,声誉焦虑,不确定性</x:v>
      </x:c>
      <x:c r="E19" s="51" t="str">
        <x:v>求职或关系变化时发现旧账号内容，开始无限搜索和删除以避免想象中的全面暴露时。</x:v>
      </x:c>
      <x:c r="F19" s="51" t="str">
        <x:v>参考：boyd与Marwick，2011数字隐私研究；Curtiss等，2021去灾难化与问题解决。</x:v>
      </x:c>
      <x:c r="G19" s="94" t="str">
        <x:v>否</x:v>
      </x:c>
    </x:row>
  </x:sheetData>
  <x:mergeCells>
    <x:mergeCell ref="A1:G1"/>
    <x:mergeCell ref="A2:G2"/>
  </x:mergeCells>
  <x:conditionalFormatting sqref="G4:G19">
    <x:cfRule type="expression" dxfId="0" priority="1">
      <x:formula>G4="是"</x:formula>
    </x:cfRule>
  </x:conditionalFormatting>
  <x:dataValidations count="2">
    <x:dataValidation type="list" sqref="B4:B19">
      <x:formula1>"典型案例"</x:formula1>
    </x:dataValidation>
    <x:dataValidation type="list" sqref="G4:G19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042a87e8414f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8" hidden="0" customWidth="1"/>
    <x:col min="3" max="3" width="10" hidden="0" customWidth="1"/>
    <x:col min="4" max="4" width="58" hidden="0" customWidth="1"/>
    <x:col min="5" max="5" width="56" hidden="0" customWidth="1"/>
  </x:cols>
  <x:sheetData>
    <x:row r="1" ht="32" customHeight="1">
      <x:c r="A1" s="5" t="str">
        <x:v>典型案例｜场景地图</x:v>
      </x:c>
      <x:c r="B1" s="5"/>
      <x:c r="C1" s="5"/>
      <x:c r="D1" s="5"/>
      <x:c r="E1" s="5"/>
    </x:row>
    <x:row r="2">
      <x:c r="A2" s="13" t="str">
        <x:v>全部人物与情节均为虚构和综合化创作，用于展示机制与调整路径，不影射真实用户、账号或群体。</x:v>
      </x:c>
      <x:c r="B2" s="13"/>
      <x:c r="C2" s="13"/>
      <x:c r="D2" s="13"/>
      <x:c r="E2" s="13"/>
    </x:row>
    <x:row r="4">
      <x:c r="A4" s="21" t="str">
        <x:v>案例组</x:v>
      </x:c>
      <x:c r="B4" s="21" t="str">
        <x:v>包含案例</x:v>
      </x:c>
      <x:c r="C4" s="21" t="str">
        <x:v>数量</x:v>
      </x:c>
      <x:c r="D4" s="21" t="str">
        <x:v>主要覆盖机制</x:v>
      </x:c>
      <x:c r="E4" s="21" t="str">
        <x:v>对应知识库分类</x:v>
      </x:c>
    </x:row>
    <x:row r="5" ht="72" customHeight="1">
      <x:c r="A5" s="151" t="str">
        <x:v>社会比较与身份</x:v>
      </x:c>
      <x:c r="B5" s="117" t="str">
        <x:v>同学上岸、学业自律、职场捷报</x:v>
      </x:c>
      <x:c r="C5" s="157" t="n">
        <x:v>3</x:v>
      </x:c>
      <x:c r="D5" s="117" t="str">
        <x:v>向上比较、人生进度、非黑即白和职业自我评价</x:v>
      </x:c>
      <x:c r="E5" s="118" t="str">
        <x:v>焦虑类型解释、人设图鉴、自我安抚训练</x:v>
      </x:c>
    </x:row>
    <x:row r="6" ht="72" customHeight="1">
      <x:c r="A6" s="152" t="str">
        <x:v>外貌与关系</x:v>
      </x:c>
      <x:c r="B6" s="120" t="str">
        <x:v>身体意象、情侣展示、FOMO聚会</x:v>
      </x:c>
      <x:c r="C6" s="158" t="n">
        <x:v>3</x:v>
      </x:c>
      <x:c r="D6" s="120" t="str">
        <x:v>外貌比较、关系比较、归属威胁</x:v>
      </x:c>
      <x:c r="E6" s="121" t="str">
        <x:v>焦虑类型解释、人设图鉴、反比较训练</x:v>
      </x:c>
    </x:row>
    <x:row r="7" ht="72" customHeight="1">
      <x:c r="A7" s="152" t="str">
        <x:v>数字互动</x:v>
      </x:c>
      <x:c r="B7" s="120" t="str">
        <x:v>已读不回、群聊冷场、在线警觉</x:v>
      </x:c>
      <x:c r="C7" s="158" t="n">
        <x:v>3</x:v>
      </x:c>
      <x:c r="D7" s="120" t="str">
        <x:v>读心术、排斥预期、反复检查和在线监控</x:v>
      </x:c>
      <x:c r="E7" s="121" t="str">
        <x:v>CBT、情绪急救、行动建议</x:v>
      </x:c>
    </x:row>
    <x:row r="8" ht="72" customHeight="1">
      <x:c r="A8" s="152" t="str">
        <x:v>内容与平台压力</x:v>
      </x:c>
      <x:c r="B8" s="120" t="str">
        <x:v>创作者数据、灾难刷屏、种草消费、热点争论</x:v>
      </x:c>
      <x:c r="C8" s="158" t="n">
        <x:v>4</x:v>
      </x:c>
      <x:c r="D8" s="120" t="str">
        <x:v>算法不确定、威胁信息、稀缺、冲突和高唤醒</x:v>
      </x:c>
      <x:c r="E8" s="121" t="str">
        <x:v>套路拆解、行动建议、情绪急救</x:v>
      </x:c>
    </x:row>
    <x:row r="9" ht="72" customHeight="1">
      <x:c r="A9" s="153" t="str">
        <x:v>表达与数字身份</x:v>
      </x:c>
      <x:c r="B9" s="123" t="str">
        <x:v>受众合并、拟社会关系、数字痕迹</x:v>
      </x:c>
      <x:c r="C9" s="159" t="n">
        <x:v>3</x:v>
      </x:c>
      <x:c r="D9" s="123" t="str">
        <x:v>上下文崩溃、关系中断、隐私与声誉不确定</x:v>
      </x:c>
      <x:c r="E9" s="124" t="str">
        <x:v>人设图鉴、焦虑类型解释、行动建议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66" hidden="0" customWidth="1"/>
    <x:col min="4" max="4" width="40" hidden="0" customWidth="1"/>
    <x:col min="5" max="5" width="28" hidden="0" customWidth="1"/>
    <x:col min="6" max="6" width="47" hidden="0" customWidth="1"/>
    <x:col min="7" max="7" width="58" hidden="0" customWidth="1"/>
  </x:cols>
  <x:sheetData>
    <x:row r="1" ht="32" customHeight="1">
      <x:c r="A1" s="5" t="str">
        <x:v>来源索引｜案例机制与调整路径</x:v>
      </x:c>
      <x:c r="B1" s="5"/>
      <x:c r="C1" s="5"/>
      <x:c r="D1" s="5"/>
      <x:c r="E1" s="5"/>
      <x:c r="F1" s="5"/>
      <x:c r="G1" s="5"/>
    </x:row>
    <x:row r="2">
      <x:c r="A2" s="13" t="str">
        <x:v>案例不是研究证据；来源仅用于支持其中的心理机制、平台情境或一般调整方法。不能用案例推断个体诊断。</x:v>
      </x:c>
      <x:c r="B2" s="13"/>
      <x:c r="C2" s="13"/>
      <x:c r="D2" s="13"/>
      <x:c r="E2" s="13"/>
      <x:c r="F2" s="13"/>
      <x:c r="G2" s="13"/>
    </x:row>
    <x:row r="3">
      <x:c r="A3" s="21" t="str">
        <x:v>编号</x:v>
      </x:c>
      <x:c r="B3" s="21" t="str">
        <x:v>作者 / 年份</x:v>
      </x:c>
      <x:c r="C3" s="21" t="str">
        <x:v>完整题名</x:v>
      </x:c>
      <x:c r="D3" s="21" t="str">
        <x:v>期刊 / 来源</x:v>
      </x:c>
      <x:c r="E3" s="21" t="str">
        <x:v>证据类型</x:v>
      </x:c>
      <x:c r="F3" s="21" t="str">
        <x:v>主要支持主题</x:v>
      </x:c>
      <x:c r="G3" s="21" t="str">
        <x:v>稳定链接</x:v>
      </x:c>
    </x:row>
    <x:row r="4" ht="58" customHeight="1">
      <x:c r="A4" s="163" t="n">
        <x:v>1</x:v>
      </x:c>
      <x:c r="B4" s="45" t="str">
        <x:v>Festinger，1954</x:v>
      </x:c>
      <x:c r="C4" s="45" t="str">
        <x:v>A Theory of Social Comparison Processes</x:v>
      </x:c>
      <x:c r="D4" s="45" t="str">
        <x:v>Human Relations</x:v>
      </x:c>
      <x:c r="E4" s="45" t="str">
        <x:v>经典理论论文</x:v>
      </x:c>
      <x:c r="F4" s="45" t="str">
        <x:v>社会比较及参照对象</x:v>
      </x:c>
      <x:c r="G4" s="46" t="str">
        <x:v>https://doi.org/10.1177/001872675400700202</x:v>
      </x:c>
    </x:row>
    <x:row r="5" ht="58" customHeight="1">
      <x:c r="A5" s="164" t="n">
        <x:v>2</x:v>
      </x:c>
      <x:c r="B5" s="48" t="str">
        <x:v>McComb等，2023</x:v>
      </x:c>
      <x:c r="C5" s="48" t="str">
        <x:v>A Meta-analysis of the Effects of Social Media Exposure to Upward Comparison Targets on Self-evaluations and Emotions</x:v>
      </x:c>
      <x:c r="D5" s="48" t="str">
        <x:v>Media Psychology</x:v>
      </x:c>
      <x:c r="E5" s="48" t="str">
        <x:v>元分析</x:v>
      </x:c>
      <x:c r="F5" s="48" t="str">
        <x:v>向上比较、自我评价与情绪</x:v>
      </x:c>
      <x:c r="G5" s="49" t="str">
        <x:v>https://doi.org/10.1080/15213269.2023.2180647</x:v>
      </x:c>
    </x:row>
    <x:row r="6" ht="58" customHeight="1">
      <x:c r="A6" s="164" t="n">
        <x:v>3</x:v>
      </x:c>
      <x:c r="B6" s="48" t="str">
        <x:v>Burnell等，2024</x:v>
      </x:c>
      <x:c r="C6" s="48" t="str">
        <x:v>Adolescents' Social Comparison on Social Media: Links With Momentary Self-evaluations</x:v>
      </x:c>
      <x:c r="D6" s="48" t="str">
        <x:v>Journal of Youth and Adolescence</x:v>
      </x:c>
      <x:c r="E6" s="48" t="str">
        <x:v>密集纵向研究</x:v>
      </x:c>
      <x:c r="F6" s="48" t="str">
        <x:v>日常社交媒体比较及即时自我评价</x:v>
      </x:c>
      <x:c r="G6" s="49" t="str">
        <x:v>https://pmc.ncbi.nlm.nih.gov/articles/PMC11624171/</x:v>
      </x:c>
    </x:row>
    <x:row r="7" ht="58" customHeight="1">
      <x:c r="A7" s="164" t="n">
        <x:v>4</x:v>
      </x:c>
      <x:c r="B7" s="48" t="str">
        <x:v>Przybylski等，2013</x:v>
      </x:c>
      <x:c r="C7" s="48" t="str">
        <x:v>Motivational, Emotional, and Behavioral Correlates of Fear of Missing Out</x:v>
      </x:c>
      <x:c r="D7" s="48" t="str">
        <x:v>Computers in Human Behavior</x:v>
      </x:c>
      <x:c r="E7" s="48" t="str">
        <x:v>量表与实证研究</x:v>
      </x:c>
      <x:c r="F7" s="48" t="str">
        <x:v>FOMO、归属需要与持续连接</x:v>
      </x:c>
      <x:c r="G7" s="49" t="str">
        <x:v>https://doi.org/10.1016/j.chb.2013.02.014</x:v>
      </x:c>
    </x:row>
    <x:row r="8" ht="58" customHeight="1">
      <x:c r="A8" s="164" t="n">
        <x:v>5</x:v>
      </x:c>
      <x:c r="B8" s="48" t="str">
        <x:v>Vogel等，2014</x:v>
      </x:c>
      <x:c r="C8" s="48" t="str">
        <x:v>Social Comparison, Social Media, and Self-Esteem</x:v>
      </x:c>
      <x:c r="D8" s="48" t="str">
        <x:v>Psychology of Popular Media Culture</x:v>
      </x:c>
      <x:c r="E8" s="48" t="str">
        <x:v>实验与相关研究</x:v>
      </x:c>
      <x:c r="F8" s="48" t="str">
        <x:v>社交媒体比较与自尊</x:v>
      </x:c>
      <x:c r="G8" s="49" t="str">
        <x:v>https://doi.org/10.1037/ppm0000047</x:v>
      </x:c>
    </x:row>
    <x:row r="9" ht="58" customHeight="1">
      <x:c r="A9" s="164" t="n">
        <x:v>6</x:v>
      </x:c>
      <x:c r="B9" s="48" t="str">
        <x:v>Tiggemann与Zaccardo，2015</x:v>
      </x:c>
      <x:c r="C9" s="48" t="str">
        <x:v>Exercise to Be Fit, Not Skinny: The Effect of Fitspiration Imagery on Women's Body Image</x:v>
      </x:c>
      <x:c r="D9" s="48" t="str">
        <x:v>Body Image</x:v>
      </x:c>
      <x:c r="E9" s="48" t="str">
        <x:v>实验研究</x:v>
      </x:c>
      <x:c r="F9" s="48" t="str">
        <x:v>健身审美内容、身体不满与情绪</x:v>
      </x:c>
      <x:c r="G9" s="49" t="str">
        <x:v>https://pubmed.ncbi.nlm.nih.gov/26176993/</x:v>
      </x:c>
    </x:row>
    <x:row r="10" ht="58" customHeight="1">
      <x:c r="A10" s="164" t="n">
        <x:v>7</x:v>
      </x:c>
      <x:c r="B10" s="48" t="str">
        <x:v>Gobin等，2022</x:v>
      </x:c>
      <x:c r="C10" s="48" t="str">
        <x:v>Testing a Self-compassion Micro-intervention Before Appearance-focused Social Media Exposure</x:v>
      </x:c>
      <x:c r="D10" s="48" t="str">
        <x:v>Body Image</x:v>
      </x:c>
      <x:c r="E10" s="48" t="str">
        <x:v>实验研究</x:v>
      </x:c>
      <x:c r="F10" s="48" t="str">
        <x:v>外貌比较、自我同情和身体意象</x:v>
      </x:c>
      <x:c r="G10" s="49" t="str">
        <x:v>https://pubmed.ncbi.nlm.nih.gov/34990896/</x:v>
      </x:c>
    </x:row>
    <x:row r="11" ht="58" customHeight="1">
      <x:c r="A11" s="164" t="n">
        <x:v>8</x:v>
      </x:c>
      <x:c r="B11" s="48" t="str">
        <x:v>Gordon等，2021</x:v>
      </x:c>
      <x:c r="C11" s="48" t="str">
        <x:v>Outcomes of a Cluster Randomized Controlled Trial of the SoMe Social Media Literacy Program</x:v>
      </x:c>
      <x:c r="D11" s="48" t="str">
        <x:v>Body Image</x:v>
      </x:c>
      <x:c r="E11" s="48" t="str">
        <x:v>整群随机对照试验</x:v>
      </x:c>
      <x:c r="F11" s="48" t="str">
        <x:v>社交媒体素养、身体意象和比较</x:v>
      </x:c>
      <x:c r="G11" s="49" t="str">
        <x:v>https://pubmed.ncbi.nlm.nih.gov/34836084/</x:v>
      </x:c>
    </x:row>
    <x:row r="12" ht="58" customHeight="1">
      <x:c r="A12" s="164" t="n">
        <x:v>9</x:v>
      </x:c>
      <x:c r="B12" s="48" t="str">
        <x:v>Reinecke等，2018</x:v>
      </x:c>
      <x:c r="C12" s="48" t="str">
        <x:v>Permanently Online and Permanently Connected: Development and Validation of the Online Vigilance Scale</x:v>
      </x:c>
      <x:c r="D12" s="48" t="str">
        <x:v>PLOS ONE</x:v>
      </x:c>
      <x:c r="E12" s="48" t="str">
        <x:v>量表开发与验证研究</x:v>
      </x:c>
      <x:c r="F12" s="48" t="str">
        <x:v>在线警觉、监控和反应性</x:v>
      </x:c>
      <x:c r="G12" s="49" t="str">
        <x:v>https://doi.org/10.1371/journal.pone.0205384</x:v>
      </x:c>
    </x:row>
    <x:row r="13" ht="58" customHeight="1">
      <x:c r="A13" s="164" t="n">
        <x:v>10</x:v>
      </x:c>
      <x:c r="B13" s="48" t="str">
        <x:v>Satici等，2023</x:v>
      </x:c>
      <x:c r="C13" s="48" t="str">
        <x:v>Doomscrolling Scale: Its Association With Personality Traits, Psychological Distress, Social Media Use, and Wellbeing</x:v>
      </x:c>
      <x:c r="D13" s="48" t="str">
        <x:v>Applied Research in Quality of Life</x:v>
      </x:c>
      <x:c r="E13" s="48" t="str">
        <x:v>量表与实证研究</x:v>
      </x:c>
      <x:c r="F13" s="48" t="str">
        <x:v>末日刷屏、心理痛苦与生活和谐</x:v>
      </x:c>
      <x:c r="G13" s="49" t="str">
        <x:v>https://pubmed.ncbi.nlm.nih.gov/36275044/</x:v>
      </x:c>
    </x:row>
    <x:row r="14" ht="58" customHeight="1">
      <x:c r="A14" s="164" t="n">
        <x:v>11</x:v>
      </x:c>
      <x:c r="B14" s="48" t="str">
        <x:v>Taskin等，2024</x:v>
      </x:c>
      <x:c r="C14" s="48" t="str">
        <x:v>Doomscrolling and Mental Well-being in Social Media Users</x:v>
      </x:c>
      <x:c r="D14" s="48" t="str">
        <x:v>Current Psychology</x:v>
      </x:c>
      <x:c r="E14" s="48" t="str">
        <x:v>实证研究</x:v>
      </x:c>
      <x:c r="F14" s="48" t="str">
        <x:v>末日刷屏、次级创伤和正念</x:v>
      </x:c>
      <x:c r="G14" s="49" t="str">
        <x:v>https://pubmed.ncbi.nlm.nih.gov/38429976/</x:v>
      </x:c>
    </x:row>
    <x:row r="15" ht="58" customHeight="1">
      <x:c r="A15" s="164" t="n">
        <x:v>12</x:v>
      </x:c>
      <x:c r="B15" s="48" t="str">
        <x:v>boyd与Marwick，2011</x:v>
      </x:c>
      <x:c r="C15" s="48" t="str">
        <x:v>Social Privacy in Networked Publics: Teens' Attitudes, Practices, and Strategies</x:v>
      </x:c>
      <x:c r="D15" s="48" t="str">
        <x:v>A Decade in Internet Time Symposium</x:v>
      </x:c>
      <x:c r="E15" s="48" t="str">
        <x:v>质性与理论研究</x:v>
      </x:c>
      <x:c r="F15" s="48" t="str">
        <x:v>受众合并、隐私和自我呈现</x:v>
      </x:c>
      <x:c r="G15" s="49" t="str">
        <x:v>https://www.danah.org/papers/2011/SocialPrivacyPLSC-Draft.pdf</x:v>
      </x:c>
    </x:row>
    <x:row r="16" ht="58" customHeight="1">
      <x:c r="A16" s="164" t="n">
        <x:v>13</x:v>
      </x:c>
      <x:c r="B16" s="48" t="str">
        <x:v>Andreassen等，2017</x:v>
      </x:c>
      <x:c r="C16" s="48" t="str">
        <x:v>The Relationship Between Addictive Use of Social Media, Narcissism, and Self-Esteem</x:v>
      </x:c>
      <x:c r="D16" s="48" t="str">
        <x:v>Addictive Behaviors</x:v>
      </x:c>
      <x:c r="E16" s="48" t="str">
        <x:v>大样本横断研究</x:v>
      </x:c>
      <x:c r="F16" s="48" t="str">
        <x:v>社交媒体使用、自尊与反馈依赖</x:v>
      </x:c>
      <x:c r="G16" s="49" t="str">
        <x:v>https://pubmed.ncbi.nlm.nih.gov/28068462/</x:v>
      </x:c>
    </x:row>
    <x:row r="17" ht="58" customHeight="1">
      <x:c r="A17" s="164" t="n">
        <x:v>14</x:v>
      </x:c>
      <x:c r="B17" s="48" t="str">
        <x:v>Yildirim与Correia，2015</x:v>
      </x:c>
      <x:c r="C17" s="48" t="str">
        <x:v>Exploring the Dimensions of Nomophobia: Development and Validation of a Self-reported Questionnaire</x:v>
      </x:c>
      <x:c r="D17" s="48" t="str">
        <x:v>Computers in Human Behavior</x:v>
      </x:c>
      <x:c r="E17" s="48" t="str">
        <x:v>量表开发研究</x:v>
      </x:c>
      <x:c r="F17" s="48" t="str">
        <x:v>手机分离、无法沟通与信息失联</x:v>
      </x:c>
      <x:c r="G17" s="49" t="str">
        <x:v>https://doi.org/10.1016/j.chb.2015.02.059</x:v>
      </x:c>
    </x:row>
    <x:row r="18" ht="58" customHeight="1">
      <x:c r="A18" s="164" t="n">
        <x:v>15</x:v>
      </x:c>
      <x:c r="B18" s="48" t="str">
        <x:v>NICE，2013</x:v>
      </x:c>
      <x:c r="C18" s="48" t="str">
        <x:v>Social Anxiety Disorder: Recognition, Assessment and Treatment (CG159)</x:v>
      </x:c>
      <x:c r="D18" s="48" t="str">
        <x:v>National Institute for Health and Care Excellence</x:v>
      </x:c>
      <x:c r="E18" s="48" t="str">
        <x:v>临床指南</x:v>
      </x:c>
      <x:c r="F18" s="48" t="str">
        <x:v>认知重构、行为实验、注意训练、安全行为和复发预防</x:v>
      </x:c>
      <x:c r="G18" s="49" t="str">
        <x:v>https://www.nice.org.uk/guidance/cg159/chapter/Recommendations</x:v>
      </x:c>
    </x:row>
    <x:row r="19" ht="58" customHeight="1">
      <x:c r="A19" s="164" t="n">
        <x:v>16</x:v>
      </x:c>
      <x:c r="B19" s="48" t="str">
        <x:v>Curtiss等，2021</x:v>
      </x:c>
      <x:c r="C19" s="48" t="str">
        <x:v>Cognitive-Behavioral Treatments for Anxiety and Stress-Related Disorders</x:v>
      </x:c>
      <x:c r="D19" s="48" t="str">
        <x:v>Focus</x:v>
      </x:c>
      <x:c r="E19" s="48" t="str">
        <x:v>同行评审综述</x:v>
      </x:c>
      <x:c r="F19" s="48" t="str">
        <x:v>自动想法、认知重构、行为实验和暴露</x:v>
      </x:c>
      <x:c r="G19" s="49" t="str">
        <x:v>https://pmc.ncbi.nlm.nih.gov/articles/PMC8475916/</x:v>
      </x:c>
    </x:row>
    <x:row r="20" ht="58" customHeight="1">
      <x:c r="A20" s="164" t="n">
        <x:v>17</x:v>
      </x:c>
      <x:c r="B20" s="48" t="str">
        <x:v>Lambert等，2022</x:v>
      </x:c>
      <x:c r="C20" s="48" t="str">
        <x:v>Taking a One-Week Break from Social Media Improves Well-Being, Depression, and Anxiety</x:v>
      </x:c>
      <x:c r="D20" s="48" t="str">
        <x:v>Cyberpsychology, Behavior, and Social Networking</x:v>
      </x:c>
      <x:c r="E20" s="48" t="str">
        <x:v>随机对照试验</x:v>
      </x:c>
      <x:c r="F20" s="48" t="str">
        <x:v>短期暂停社交媒体及个体化效果</x:v>
      </x:c>
      <x:c r="G20" s="49" t="str">
        <x:v>https://pubmed.ncbi.nlm.nih.gov/35512731/</x:v>
      </x:c>
    </x:row>
    <x:row r="21" ht="58" customHeight="1">
      <x:c r="A21" s="165" t="n">
        <x:v>18</x:v>
      </x:c>
      <x:c r="B21" s="51" t="str">
        <x:v>Lemahieu等，2025</x:v>
      </x:c>
      <x:c r="C21" s="51" t="str">
        <x:v>The Effects of Social Media Abstinence on Affective Well-being and Life Satisfaction</x:v>
      </x:c>
      <x:c r="D21" s="51" t="str">
        <x:v>Scientific Reports</x:v>
      </x:c>
      <x:c r="E21" s="51" t="str">
        <x:v>系统综述与元分析</x:v>
      </x:c>
      <x:c r="F21" s="51" t="str">
        <x:v>社交媒体暂停的平均效应和个体差异</x:v>
      </x:c>
      <x:c r="G21" s="52" t="str">
        <x:v>https://pmc.ncbi.nlm.nih.gov/articles/PMC11880199/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83fc6e2cf3741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9" hidden="0" customWidth="1"/>
    <x:col min="4" max="4" width="54" hidden="0" customWidth="1"/>
  </x:cols>
  <x:sheetData>
    <x:row r="1" ht="32" customHeight="1">
      <x:c r="A1" s="5" t="str">
        <x:v>典型案例｜写作与使用边界</x:v>
      </x:c>
      <x:c r="B1" s="5"/>
      <x:c r="C1" s="5"/>
      <x:c r="D1" s="5"/>
    </x:row>
    <x:row r="3">
      <x:c r="A3" s="21" t="str">
        <x:v>原则</x:v>
      </x:c>
      <x:c r="B3" s="21" t="str">
        <x:v>本版做法</x:v>
      </x:c>
      <x:c r="C3" s="21" t="str">
        <x:v>需要避免</x:v>
      </x:c>
      <x:c r="D3" s="21" t="str">
        <x:v>产品使用建议</x:v>
      </x:c>
    </x:row>
    <x:row r="4" ht="68" customHeight="1">
      <x:c r="A4" s="151" t="str">
        <x:v>人物完全虚构</x:v>
      </x:c>
      <x:c r="B4" s="117" t="str">
        <x:v>使用常见姓名称呼和综合化情节，不使用真实账号或可识别经历</x:v>
      </x:c>
      <x:c r="C4" s="117" t="str">
        <x:v>影射具体网红、同学、伴侣或用户</x:v>
      </x:c>
      <x:c r="D4" s="118" t="str">
        <x:v>页面显著标注“虚构案例”</x:v>
      </x:c>
    </x:row>
    <x:row r="5" ht="68" customHeight="1">
      <x:c r="A5" s="152" t="str">
        <x:v>不作临床诊断</x:v>
      </x:c>
      <x:c r="B5" s="120" t="str">
        <x:v>描述想法、情绪和行为循环</x:v>
      </x:c>
      <x:c r="C5" s="120" t="str">
        <x:v>根据单个案例判断焦虑症、依恋类型或人格障碍</x:v>
      </x:c>
      <x:c r="D5" s="121" t="str">
        <x:v>高风险时引导专业评估</x:v>
      </x:c>
    </x:row>
    <x:row r="6" ht="68" customHeight="1">
      <x:c r="A6" s="152" t="str">
        <x:v>不保证成功</x:v>
      </x:c>
      <x:c r="B6" s="120" t="str">
        <x:v>调整后仍保留现实困难和残余情绪</x:v>
      </x:c>
      <x:c r="C6" s="120" t="str">
        <x:v>三步逆袭、一次练习彻底治愈</x:v>
      </x:c>
      <x:c r="D6" s="121" t="str">
        <x:v>展示过程与选择，而非完美结局</x:v>
      </x:c>
    </x:row>
    <x:row r="7" ht="68" customHeight="1">
      <x:c r="A7" s="152" t="str">
        <x:v>兼顾现实问题</x:v>
      </x:c>
      <x:c r="B7" s="120" t="str">
        <x:v>承认就业、网暴、排斥、经济和隐私风险可能真实存在</x:v>
      </x:c>
      <x:c r="C7" s="120" t="str">
        <x:v>把全部问题归因于用户认知错误</x:v>
      </x:c>
      <x:c r="D7" s="121" t="str">
        <x:v>同时链接行动建议和现实求助资源</x:v>
      </x:c>
    </x:row>
    <x:row r="8" ht="68" customHeight="1">
      <x:c r="A8" s="153" t="str">
        <x:v>避免污名化</x:v>
      </x:c>
      <x:c r="B8" s="123" t="str">
        <x:v>不把嫉妒、比较、依赖或冲动描述为道德缺陷</x:v>
      </x:c>
      <x:c r="C8" s="123" t="str">
        <x:v>嘲笑当事人脆弱、虚荣、戏多或自制力差</x:v>
      </x:c>
      <x:c r="D8" s="124" t="str">
        <x:v>使用中性、可理解的语言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</x:cols>
  <x:sheetData>
    <x:row r="1" ht="32" customHeight="1">
      <x:c r="A1" s="5" t="str">
        <x:v>知识库质量检查｜典型案例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 ht="28" customHeight="1">
      <x:c r="A4" s="151" t="str">
        <x:v>正式条目总数</x:v>
      </x:c>
      <x:c r="B4" s="157" t="n">
        <x:f>COUNTA('导入表'!A4:A19)</x:f>
        <x:v>16</x:v>
      </x:c>
      <x:c r="C4" s="157" t="str">
        <x:f>IF(B4=16,"通过","需检查")</x:f>
        <x:v>通过</x:v>
      </x:c>
      <x:c r="D4" s="118" t="str">
        <x:v>本版目标：16 条</x:v>
      </x:c>
    </x:row>
    <x:row r="5" ht="28" customHeight="1">
      <x:c r="A5" s="152" t="str">
        <x:v>空标题数量</x:v>
      </x:c>
      <x:c r="B5" s="158" t="n">
        <x:f>COUNTIF('导入表'!A4:A19,"")</x:f>
        <x:v>0</x:v>
      </x:c>
      <x:c r="C5" s="158" t="str">
        <x:f>IF(B5=0,"通过","需修正")</x:f>
        <x:v>通过</x:v>
      </x:c>
      <x:c r="D5" s="121" t="str">
        <x:v>必须为 0</x:v>
      </x:c>
    </x:row>
    <x:row r="6" ht="28" customHeight="1">
      <x:c r="A6" s="152" t="str">
        <x:v>空正文数量</x:v>
      </x:c>
      <x:c r="B6" s="158" t="n">
        <x:f>COUNTIF('导入表'!C4:C19,"")</x:f>
        <x:v>0</x:v>
      </x:c>
      <x:c r="C6" s="158" t="str">
        <x:f>IF(B6=0,"通过","需修正")</x:f>
        <x:v>通过</x:v>
      </x:c>
      <x:c r="D6" s="121" t="str">
        <x:v>必须为 0</x:v>
      </x:c>
    </x:row>
    <x:row r="7" ht="28" customHeight="1">
      <x:c r="A7" s="152" t="str">
        <x:v>分类名称不一致数量</x:v>
      </x:c>
      <x:c r="B7" s="158" t="n">
        <x:f>COUNTIF('导入表'!B4:B19,"&lt;&gt;典型案例")</x:f>
        <x:v>0</x:v>
      </x:c>
      <x:c r="C7" s="158" t="str">
        <x:f>IF(B7=0,"通过","需修正")</x:f>
        <x:v>通过</x:v>
      </x:c>
      <x:c r="D7" s="121" t="str">
        <x:v>必须为 0</x:v>
      </x:c>
    </x:row>
    <x:row r="8" ht="28" customHeight="1">
      <x:c r="A8" s="152" t="str">
        <x:v>首页推荐数量</x:v>
      </x:c>
      <x:c r="B8" s="158" t="n">
        <x:f>COUNTIF('导入表'!G4:G19,"是")</x:f>
        <x:v>4</x:v>
      </x:c>
      <x:c r="C8" s="158" t="str">
        <x:f>IF(AND(B8&gt;=B4*15%,B8&lt;=B4*25%),"通过","需调整")</x:f>
        <x:v>通过</x:v>
      </x:c>
      <x:c r="D8" s="121" t="str">
        <x:v>建议占总数 15%—25%</x:v>
      </x:c>
    </x:row>
    <x:row r="9" ht="28" customHeight="1">
      <x:c r="A9" s="152" t="str">
        <x:v>首页推荐占比</x:v>
      </x:c>
      <x:c r="B9" s="169" t="n">
        <x:f>B8/B4</x:f>
        <x:v>0.25</x:v>
      </x:c>
      <x:c r="C9" s="158" t="str">
        <x:f>IF(AND(B9&gt;=15%,B9&lt;=25%),"通过","需调整")</x:f>
        <x:v>通过</x:v>
      </x:c>
      <x:c r="D9" s="121" t="str">
        <x:v>建议 15%—25%</x:v>
      </x:c>
    </x:row>
    <x:row r="10" ht="28" customHeight="1">
      <x:c r="A10" s="152" t="str">
        <x:v>无效推荐值数量</x:v>
      </x:c>
      <x:c r="B10" s="158" t="n">
        <x:f>COUNTIF('导入表'!G4:G19,"&lt;&gt;是")-COUNTIF('导入表'!G4:G19,"否")</x:f>
        <x:v>0</x:v>
      </x:c>
      <x:c r="C10" s="158" t="str">
        <x:f>IF(B10=0,"通过","需修正")</x:f>
        <x:v>通过</x:v>
      </x:c>
      <x:c r="D10" s="121" t="str">
        <x:v>只能为“是”或“否”</x:v>
      </x:c>
    </x:row>
    <x:row r="11" ht="28" customHeight="1">
      <x:c r="A11" s="152" t="str">
        <x:v>重复标题数量</x:v>
      </x:c>
      <x:c r="B11" s="158" t="n">
        <x:v>0</x:v>
      </x:c>
      <x:c r="C11" s="158" t="str">
        <x:f>IF(B11=0,"通过","需修正")</x:f>
        <x:v>通过</x:v>
      </x:c>
      <x:c r="D11" s="121" t="str">
        <x:v>必须为 0</x:v>
      </x:c>
    </x:row>
    <x:row r="12" ht="28" customHeight="1">
      <x:c r="A12" s="152" t="str">
        <x:v>标题最大长度</x:v>
      </x:c>
      <x:c r="B12" s="158" t="n">
        <x:v>25</x:v>
      </x:c>
      <x:c r="C12" s="158" t="str">
        <x:f>IF(B12&lt;=60,"通过","需修正")</x:f>
        <x:v>通过</x:v>
      </x:c>
      <x:c r="D12" s="121" t="str">
        <x:v>≤60 字</x:v>
      </x:c>
    </x:row>
    <x:row r="13" ht="28" customHeight="1">
      <x:c r="A13" s="152" t="str">
        <x:v>正文最短长度</x:v>
      </x:c>
      <x:c r="B13" s="158" t="n">
        <x:v>500</x:v>
      </x:c>
      <x:c r="C13" s="158" t="str">
        <x:f>IF(B13&gt;=500,"通过","需检查")</x:f>
        <x:v>通过</x:v>
      </x:c>
      <x:c r="D13" s="121" t="str">
        <x:v>建议 ≥500 字</x:v>
      </x:c>
    </x:row>
    <x:row r="14" ht="28" customHeight="1">
      <x:c r="A14" s="152" t="str">
        <x:v>正文最大长度</x:v>
      </x:c>
      <x:c r="B14" s="158" t="n">
        <x:v>564</x:v>
      </x:c>
      <x:c r="C14" s="158" t="str">
        <x:f>IF(B14&lt;=5000,"通过","需修正")</x:f>
        <x:v>通过</x:v>
      </x:c>
      <x:c r="D14" s="121" t="str">
        <x:v>≤5000 字</x:v>
      </x:c>
    </x:row>
    <x:row r="15" ht="28" customHeight="1">
      <x:c r="A15" s="152" t="str">
        <x:v>单条最多标签数</x:v>
      </x:c>
      <x:c r="B15" s="158" t="n">
        <x:v>4</x:v>
      </x:c>
      <x:c r="C15" s="158" t="str">
        <x:f>IF(B15&lt;=5,"通过","需修正")</x:f>
        <x:v>通过</x:v>
      </x:c>
      <x:c r="D15" s="121" t="str">
        <x:v>≤5 个</x:v>
      </x:c>
    </x:row>
    <x:row r="16" ht="28" customHeight="1">
      <x:c r="A16" s="152" t="str">
        <x:v>最长单个标签</x:v>
      </x:c>
      <x:c r="B16" s="158" t="n">
        <x:v>5</x:v>
      </x:c>
      <x:c r="C16" s="158" t="str">
        <x:f>IF(B16&lt;=10,"通过","需修正")</x:f>
        <x:v>通过</x:v>
      </x:c>
      <x:c r="D16" s="121" t="str">
        <x:v>≤10 字</x:v>
      </x:c>
    </x:row>
    <x:row r="17" ht="28" customHeight="1">
      <x:c r="A17" s="152" t="str">
        <x:v>适用场景最大长度</x:v>
      </x:c>
      <x:c r="B17" s="158" t="n">
        <x:v>38</x:v>
      </x:c>
      <x:c r="C17" s="158" t="str">
        <x:f>IF(B17&lt;=200,"通过","需修正")</x:f>
        <x:v>通过</x:v>
      </x:c>
      <x:c r="D17" s="121" t="str">
        <x:v>≤200 字</x:v>
      </x:c>
    </x:row>
    <x:row r="18" ht="28" customHeight="1">
      <x:c r="A18" s="153" t="str">
        <x:v>来源说明最大长度</x:v>
      </x:c>
      <x:c r="B18" s="159" t="n">
        <x:v>57</x:v>
      </x:c>
      <x:c r="C18" s="159" t="str">
        <x:f>IF(B18&lt;=200,"通过","需修正")</x:f>
        <x:v>通过</x:v>
      </x:c>
      <x:c r="D18" s="124" t="str">
        <x:v>≤200 字</x:v>
      </x:c>
    </x:row>
  </x:sheetData>
  <x:mergeCells>
    <x:mergeCell ref="A1:D1"/>
  </x:mergeCells>
  <x:conditionalFormatting sqref="C4:C18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