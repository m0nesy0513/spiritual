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3cdf5b652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表" sheetId="1" r:id="R4ab98c86a71c4a0a"/>
    <x:sheet xmlns:r="http://schemas.openxmlformats.org/officeDocument/2006/relationships" name="训练地图" sheetId="2" r:id="Re5d75f5aebed4ff1"/>
    <x:sheet xmlns:r="http://schemas.openxmlformats.org/officeDocument/2006/relationships" name="来源索引" sheetId="3" r:id="Rda93db92152a47c9"/>
    <x:sheet xmlns:r="http://schemas.openxmlformats.org/officeDocument/2006/relationships" name="使用边界" sheetId="4" r:id="R026b7371cee74809"/>
    <x:sheet xmlns:r="http://schemas.openxmlformats.org/officeDocument/2006/relationships" name="质量检查" sheetId="5" r:id="Rff5f333539ce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E4A7C"/>
      <x:name val="Carlito"/>
    </x:font>
    <x:font>
      <x:b/>
      <x:sz val="11"/>
      <x:color rgb="FFFFFFFF"/>
      <x:name val="Carlito"/>
    </x:font>
    <x:font>
      <x:sz val="10"/>
      <x:color rgb="FF29263E"/>
      <x:name val="Carlito"/>
    </x:font>
    <x:font>
      <x:b/>
      <x:sz val="10"/>
      <x:color rgb="FF4E4A7C"/>
      <x:name val="Carlito"/>
    </x:font>
    <x:font>
      <x:b/>
      <x:sz val="11"/>
      <x:color rgb="FF4E4A7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E4A7C"/>
      </x:patternFill>
    </x:fill>
    <x:fill>
      <x:patternFill patternType="solid">
        <x:fgColor rgb="FFEC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12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horizontal="center" vertical="top" wrapText="1"/>
    </x:xf>
    <x:xf numFmtId="0" fontId="4" fillId="0" borderId="17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10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4" fillId="0" borderId="15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69ddd26cd4f8e" /><Relationship Type="http://schemas.openxmlformats.org/officeDocument/2006/relationships/theme" Target="/xl/theme/theme1.xml" Id="R30fdfc95f1474eb6" /><Relationship Type="http://schemas.openxmlformats.org/officeDocument/2006/relationships/sharedStrings" Target="/xl/sharedStrings.xml" Id="R3f89fa2749dd4899" /><Relationship Type="http://schemas.openxmlformats.org/officeDocument/2006/relationships/worksheet" Target="/xl/worksheets/sheet1.xml" Id="R4ab98c86a71c4a0a" /><Relationship Type="http://schemas.openxmlformats.org/officeDocument/2006/relationships/worksheet" Target="/xl/worksheets/sheet2.xml" Id="Re5d75f5aebed4ff1" /><Relationship Type="http://schemas.openxmlformats.org/officeDocument/2006/relationships/worksheet" Target="/xl/worksheets/sheet3.xml" Id="Rda93db92152a47c9" /><Relationship Type="http://schemas.openxmlformats.org/officeDocument/2006/relationships/worksheet" Target="/xl/worksheets/sheet4.xml" Id="R026b7371cee74809" /><Relationship Type="http://schemas.openxmlformats.org/officeDocument/2006/relationships/worksheet" Target="/xl/worksheets/sheet5.xml" Id="Rff5f333539ce49c0" /></Relationships>
</file>

<file path=xl/tables/table1.xml><?xml version="1.0" encoding="utf-8"?>
<x:table xmlns:x="http://schemas.openxmlformats.org/spreadsheetml/2006/main" id="1" name="SelfSoothingImportTable" displayName="SelfSoothingImportTable" ref="A3:G21" headerRowCount="1">
  <x:tableColumns count="7">
    <x:tableColumn id="1" name="title"/>
    <x:tableColumn id="2" name="category"/>
    <x:tableColumn id="3" name="body"/>
    <x:tableColumn id="4" name="tags"/>
    <x:tableColumn id="5" name="applicable_scene"/>
    <x:tableColumn id="6" name="source_note"/>
    <x:tableColumn id="7" name="is_home_recommended"/>
  </x:tableColumns>
  <x:tableStyleInfo name="TableStyleMedium2" showRowStripes="1"/>
</x:table>
</file>

<file path=xl/tables/table2.xml><?xml version="1.0" encoding="utf-8"?>
<x:table xmlns:x="http://schemas.openxmlformats.org/spreadsheetml/2006/main" id="2" name="SelfSoothingSourceTable" displayName="SelfSoothingSourceTable" ref="A3:G25" headerRowCount="1">
  <x:tableColumns count="7">
    <x:tableColumn id="1" name="编号"/>
    <x:tableColumn id="2" name="作者 / 年份"/>
    <x:tableColumn id="3" name="完整题名"/>
    <x:tableColumn id="4" name="期刊 / 来源"/>
    <x:tableColumn id="5" name="证据类型"/>
    <x:tableColumn id="6" name="主要支持主题"/>
    <x:tableColumn id="7" name="稳定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54ff5cf87b4f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95bc4e79c64a3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80" hidden="0" customWidth="1"/>
    <x:col min="4" max="4" width="29" hidden="0" customWidth="1"/>
    <x:col min="5" max="5" width="46" hidden="0" customWidth="1"/>
    <x:col min="6" max="6" width="57" hidden="0" customWidth="1"/>
    <x:col min="7" max="7" width="18" hidden="0" customWidth="1"/>
  </x:cols>
  <x:sheetData>
    <x:row r="1" ht="32" customHeight="1">
      <x:c r="A1" s="5" t="str">
        <x:v>社交媒体焦虑知识库｜自我安抚 / 反比较训练</x:v>
      </x:c>
      <x:c r="B1" s="5"/>
      <x:c r="C1" s="5"/>
      <x:c r="D1" s="5"/>
      <x:c r="E1" s="5"/>
      <x:c r="F1" s="5"/>
      <x:c r="G1" s="5"/>
    </x:row>
    <x:row r="2" ht="28" customHeight="1">
      <x:c r="A2" s="13" t="str">
        <x:v>共 18 条；正文为 Markdown；category 固定为“自我安抚 / 反比较训练”；首页推荐 4 条（22.2%）。</x:v>
      </x:c>
      <x:c r="B2" s="13"/>
      <x:c r="C2" s="13"/>
      <x:c r="D2" s="13"/>
      <x:c r="E2" s="13"/>
      <x:c r="F2" s="13"/>
      <x:c r="G2" s="13"/>
    </x:row>
    <x:row r="3">
      <x:c r="A3" s="21" t="str">
        <x:v>title</x:v>
      </x:c>
      <x:c r="B3" s="21" t="str">
        <x:v>category</x:v>
      </x:c>
      <x:c r="C3" s="21" t="str">
        <x:v>body</x:v>
      </x:c>
      <x:c r="D3" s="21" t="str">
        <x:v>tags</x:v>
      </x:c>
      <x:c r="E3" s="21" t="str">
        <x:v>applicable_scene</x:v>
      </x:c>
      <x:c r="F3" s="21" t="str">
        <x:v>source_note</x:v>
      </x:c>
      <x:c r="G3" s="21" t="str">
        <x:v>is_home_recommended</x:v>
      </x:c>
    </x:row>
    <x:row r="4" ht="132" customHeight="1">
      <x:c r="A4" s="80" t="str">
        <x:v>三步自我同情停顿：看见、连接、友善回应</x:v>
      </x:c>
      <x:c r="B4" s="86" t="str">
        <x:v>自我安抚 / 反比较训练</x:v>
      </x:c>
      <x:c r="C4" s="45" t="str">
        <x:v>## 训练目标
比较发生后，很多人的第一反应是责骂自己“怎么又嫉妒、又脆弱”。三步停顿不是让你否认落差，而是训练一种更稳定的自我回应：先承认痛苦，再把自己放回普通人的共同处境，最后给出不羞辱自己的支持。
## 练习步骤
每周练习3—5次，也可以在轻度触发后使用：
1. **看见**：“我现在因为比较而难受，胸口紧、很失落。”
2. **连接**：“人在看到别人高光时产生落差很常见，我并不是唯一这样的人。”
3. **友善回应**：“我可以先不判决自己，给自己十分钟，再决定下一步。”
最后写下一句真正能相信的话，例如：“这次刺激了我，但它不能概括我的全部生活。”
## 反比较重点
自我同情不是告诉自己“我比别人好”，而是减少必须通过胜过别人才能获得尊重的条件。长期目标是让痛苦不再自动升级成自我攻击。
## 练习边界
元分析显示自我同情干预对焦虑、压力和抑郁的平均效果多为小到中等，研究质量也存在差异。它不是危机处理或正式治疗；若自我友善语言让你明显反感，可以先从中性、不攻击的表达开始。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4" s="45" t="str">
        <x:v>自我同情,共同人性,自我友善,比较触发</x:v>
      </x:c>
      <x:c r="E4" s="45" t="str">
        <x:v>看到他人高光后不仅失落，还开始责骂自己嫉妒、没用或太敏感时。</x:v>
      </x:c>
      <x:c r="F4" s="45" t="str">
        <x:v>参考：Han与Kim，2023自我同情干预元分析；Neff与Germer，2013随机试验。</x:v>
      </x:c>
      <x:c r="G4" s="92" t="str">
        <x:v>是</x:v>
      </x:c>
    </x:row>
    <x:row r="5" ht="132" customHeight="1">
      <x:c r="A5" s="81" t="str">
        <x:v>给受触发的自己写一封支持信</x:v>
      </x:c>
      <x:c r="B5" s="87" t="str">
        <x:v>自我安抚 / 反比较训练</x:v>
      </x:c>
      <x:c r="C5" s="48" t="str">
        <x:v>## 训练目标
把内心关系从“审判者对失败者”调整为“一个可靠的人在陪伴另一个正在受挫的人”。书信形式能让支持语言更完整，也比临时喊口号更容易容纳真实困难。
## 练习步骤
选择一次典型的社交媒体触发，用10—15分钟写信：
1. 客观描述发生了什么，不夸大也不淡化。
2. 承认你最难受的部分，例如落后感、被排除感或羞耻。
3. 写出这种反应为什么可以理解，包括当前压力和重要需要。
4. 像写给亲近朋友一样，提出一到两个温和、现实的建议。
5. 以一句不附加条件的支持结尾：“无论这次表现怎样，你仍值得被认真对待。”
隔一天再读，圈出最能安抚你的两句话。
## 反比较重点
信中不要证明“别人其实也不好”，而是练习在不贬低比较对象的情况下，仍然维护自己的尊严和完整性。
## 练习边界
支持信不必写得感人，也不应变成强迫性的长篇分析。若书写持续引发创伤记忆或强烈绝望，应停止并寻求专业支持。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5" s="48" t="str">
        <x:v>支持信,自我友善,书写练习,羞耻</x:v>
      </x:c>
      <x:c r="E5" s="48" t="str">
        <x:v>一次比较或公开反馈在心里停留很久，普通安慰很快被自我批评推翻时。</x:v>
      </x:c>
      <x:c r="F5" s="48" t="str">
        <x:v>参考：自我同情干预框架；Han与Kim，2023；Neff与Germer，2013。</x:v>
      </x:c>
      <x:c r="G5" s="93" t="str">
        <x:v>否</x:v>
      </x:c>
    </x:row>
    <x:row r="6" ht="132" customHeight="1">
      <x:c r="A6" s="81" t="str">
        <x:v>把内心批评改写成教练式语言</x:v>
      </x:c>
      <x:c r="B6" s="87" t="str">
        <x:v>自我安抚 / 反比较训练</x:v>
      </x:c>
      <x:c r="C6" s="48" t="str">
        <x:v>## 训练目标
长期比较会让内在语言变成绝对判决：“你永远赶不上”“你就是懒”。教练式语言既不纵容，也不羞辱，重点是描述现状、指出可控部分并保留成长空间。
## 练习步骤
每周挑三句常见自我批评，按以下结构改写：
- 原句：“别人都在进步，你就是废物。”
- **事实**：“我今天看到几个人发布成果，而我的计划没有完成。”
- **理解**：“我最近睡眠不足，也被比较刺激了。”
- **方向**：“今晚先完成一个最小步骤，明天再调整计划。”
判断新句子是否满足三个条件：具体、可执行、不会用人格羞辱推动行动。
## 反比较重点
教练式语言不需要把失误美化成成功。它只是把“整体人格很差”改成“某个行为和环境需要调整”，让行动不再依赖自我憎恨。
## 练习边界
如果改写后只剩“必须更努力”，说明批评仍然只是换了温和包装。真正的教练语言也允许休息、重新评估目标和承认资源限制。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6" s="48" t="str">
        <x:v>内在语言,自我批评,教练视角,成长</x:v>
      </x:c>
      <x:c r="E6" s="48" t="str">
        <x:v>刷到自律或成功内容后，脑中反复用羞辱性语言逼迫自己行动时。</x:v>
      </x:c>
      <x:c r="F6" s="48" t="str">
        <x:v>参考：Han与Kim，2023自我同情干预元分析；Kross等，2014自我对话研究。</x:v>
      </x:c>
      <x:c r="G6" s="93" t="str">
        <x:v>否</x:v>
      </x:c>
    </x:row>
    <x:row r="7" ht="132" customHeight="1">
      <x:c r="A7" s="81" t="str">
        <x:v>共同人性记录：把不完美放回普通人的生活</x:v>
      </x:c>
      <x:c r="B7" s="87" t="str">
        <x:v>自我安抚 / 反比较训练</x:v>
      </x:c>
      <x:c r="C7" s="48" t="str">
        <x:v>## 训练目标
信息流容易让人产生“只有我停滞、混乱、会嫉妒”的孤立感。共同人性训练不是假设每个人经历相同，而是提醒自己：失败、等待、关系波动和精力不足都是人类生活的一部分，只是较少被公开。
## 练习步骤
每周完成一张记录：
1. 写下本周最想隐藏的一次不完美。
2. 写出这个经历反映了什么普遍处境，例如“重要结果不完全由努力控制”。
3. 想象三种不同背景的人可能如何经历相似困难。
4. 写一句不比较轻重的连接语：“我的处境有独特部分，但受挫并不让我脱离人群。”
5. 最后写下你愿意向现实中的谁透露一点真实状态。
## 反比较重点
不要用“别人也很惨”获得安慰，也不要否认结构性差异。练习的核心是减少“不完美意味着我不配属于群体”的孤立解释。
## 练习边界
共同人性不能替代对现实不公、排斥或伤害的处理。若某段关系确实不断羞辱你，除了自我安抚，也需要现实边界和支持。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7" s="48" t="str">
        <x:v>共同人性,孤立感,不完美,归属</x:v>
      </x:c>
      <x:c r="E7" s="48" t="str">
        <x:v>信息流让你觉得别人都稳定顺利，只有自己混乱、失败或情绪很多时。</x:v>
      </x:c>
      <x:c r="F7" s="48" t="str">
        <x:v>参考：Neff与Germer，2013；Marsh等，2018，自我同情与心理痛苦元分析。</x:v>
      </x:c>
      <x:c r="G7" s="93" t="str">
        <x:v>否</x:v>
      </x:c>
    </x:row>
    <x:row r="8" ht="132" customHeight="1">
      <x:c r="A8" s="81" t="str">
        <x:v>用自己的名字进行第三人称自我对话</x:v>
      </x:c>
      <x:c r="B8" s="87" t="str">
        <x:v>自我安抚 / 反比较训练</x:v>
      </x:c>
      <x:c r="C8" s="48" t="str">
        <x:v>## 训练目标
情绪强烈时，第一人称反思容易变成反刍：“我怎么这样、我完了”。用自己的名字或“你”来对话，可以暂时拉开一点心理距离，让语言更像对一个具体的人提出帮助。
## 练习步骤
遇到比较后，写下三个问题：
1. “俊一现在最难受的是什么？”
2. “俊一掌握了哪些事实，哪些只是预测？”
3. “如果要保护他今晚的生活，下一步最合适的是什么？”
回答时避免写成长篇分析，只用三到五句话。也可以想象一个月后的自己回看今天，会如何概括这次事件。
## 反比较重点
自我距离不是假装事情与自己无关，而是从“我就是失败”转为“这个人正在经历一次失败感”。比较对象仍然存在，但不再占据全部视野。
## 练习边界
第三人称语言对部分人自然，对部分人会显得别扭。若感到疏离或不真实，可以改成“我最信任的朋友会怎样对我说”。它不适合用来压住必须表达的情绪。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8" s="48" t="str">
        <x:v>第三人称,自我距离,反刍,自我对话</x:v>
      </x:c>
      <x:c r="E8" s="48" t="str">
        <x:v>比较后不断在第一人称里循环“我不行、我完了”，越想越陷进去时。</x:v>
      </x:c>
      <x:c r="F8" s="48" t="str">
        <x:v>参考：Kross等，2014；Kross与Ayduk，2011，自我距离与适应性反思研究。</x:v>
      </x:c>
      <x:c r="G8" s="93" t="str">
        <x:v>否</x:v>
      </x:c>
    </x:row>
    <x:row r="9" ht="132" customHeight="1">
      <x:c r="A9" s="81" t="str">
        <x:v>个人进步证据簿：记录微小胜利与长期变化</x:v>
      </x:c>
      <x:c r="B9" s="87" t="str">
        <x:v>自我安抚 / 反比较训练</x:v>
      </x:c>
      <x:c r="C9" s="48" t="str">
        <x:v>## 训练目标
社交媒体不断提供更强、更快、更漂亮的外部参照，而个人成长往往由许多不可发布的小行动组成。进步证据簿同时记录短期微小胜利和较长时间的变化，帮助你建立自己的纵向参照。
## 练习步骤
平时随手记录以下内容，每月集中整理一次：
1. 我开始、坚持或完成了什么。
2. 我停止、拒绝或放下了什么不适合的事。
3. 我在困难状态下维持住了什么。
4. 哪项能力比三个月前更熟练或更稳定。
5. 哪些现实限制影响了速度，但没有抹掉努力。
月末画一条简单时间线，选出三项具体证据，并写出下个月只想推进的一个方向。
## 反比较重点
证据簿不按点赞价值选择，也不要求每个月都进步。停滞、恢复、维持和放弃错误目标都可以被记录。它让你拥有自己的时间轴，而不是只能依赖同龄人提供的横向排名。
## 练习边界
若记录变成新的绩效考核，可以减少到每周一项，并加入“我允许自己休息了什么”。没有增长不等于没有价值。
## 训练建议
连续练习四周后再回看，不要每天用它评判自己。若记录明显增加焦虑或完美主义压力，应暂停并缩小范围。</x:v>
      </x:c>
      <x:c r="D9" s="48" t="str">
        <x:v>个人进步,微小胜利,成长证据,纵向参照</x:v>
      </x:c>
      <x:c r="E9" s="48" t="str">
        <x:v>看到同龄人成果后，完全忘记自己最近几个月已经完成、维持或改变了什么时。</x:v>
      </x:c>
      <x:c r="F9" s="48" t="str">
        <x:v>参考：Gander等，2016，成就与意义干预；优势干预相关系统综述。</x:v>
      </x:c>
      <x:c r="G9" s="93" t="str">
        <x:v>是</x:v>
      </x:c>
    </x:row>
    <x:row r="10" ht="132" customHeight="1">
      <x:c r="A10" s="81" t="str">
        <x:v>多维身份拼图：不让一个指标定义全部自我</x:v>
      </x:c>
      <x:c r="B10" s="87" t="str">
        <x:v>自我安抚 / 反比较训练</x:v>
      </x:c>
      <x:c r="C10" s="48" t="str">
        <x:v>## 训练目标
比较焦虑会把身份压缩成单一排行：收入、外貌、学校、恋爱状态或粉丝数。多维身份拼图训练重新看见一个人同时拥有多种角色、关系、能力和价值，任何单一指标都只是其中一块。
## 练习步骤
画一个圆并分成8—12块，填写可能的身份领域：
- 学习者、朋友、家人、创作者、运动者。
- 好奇、幽默、可靠、审美、照顾能力。
- 兴趣、文化、社区和未来想探索的方向。
然后标记：最近哪个区域被信息流放得过大？哪个区域长期没有被看见？本周选择一个被忽略领域，安排一次真实行动。
## 反比较重点
拼图不是为了证明自己“其他方面更强”，而是拒绝接受单维度总排名。别人某一块突出，不等于你的整张图失去价值。
## 练习边界
身份领域可以变化，也不必每块都发展。若某些角色来自他人强迫或让你持续受伤，可以把它移出拼图，而不是为了完整勉强保留。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10" s="48" t="str">
        <x:v>多维身份,自我概念,单一指标,身份拼图</x:v>
      </x:c>
      <x:c r="E10" s="48" t="str">
        <x:v>因为外貌、收入、学校或关系状态中的一个差距，就觉得整个人都输掉时。</x:v>
      </x:c>
      <x:c r="F10" s="48" t="str">
        <x:v>参考：自我肯定理论与价值干预元分析；Zhang等，2025；Epton等，2015。</x:v>
      </x:c>
      <x:c r="G10" s="93" t="str">
        <x:v>否</x:v>
      </x:c>
    </x:row>
    <x:row r="11" ht="132" customHeight="1">
      <x:c r="A11" s="81" t="str">
        <x:v>价值排序卡：确认点赞之外真正重要的方向</x:v>
      </x:c>
      <x:c r="B11" s="87" t="str">
        <x:v>自我安抚 / 反比较训练</x:v>
      </x:c>
      <x:c r="C11" s="48" t="str">
        <x:v>## 训练目标
当平台不断提供可量化指标时，人容易把“被看见”误当成唯一方向。价值排序训练帮助区分：什么是我愿意长期靠近的生活品质，什么只是为了避免落后而临时追逐的信号。
## 练习步骤
从以下词中选择10个，再缩减为5个：学习、创造、亲密、自由、健康、诚实、勇气、稳定、贡献、探索、审美、玩乐、责任。对每个核心价值回答：
1. 它对我意味着什么，不引用社会标准。
2. 过去一个月我在哪个行为中体现过它？
3. 社交媒体怎样帮助或干扰了它？
4. 下周一个可观察的小行动是什么？
每三个月重做一次，允许排序变化。
## 反比较重点
价值没有统一排行榜。别人选择财富、旅行或高曝光，并不能自动决定你的优先级。训练不是否定成就，而是让成就服务于自己的方向。
## 练习边界
价值不是任务清单，也不应变成新的完美人格要求。若“健康”被写成必须瘦到某个标准，需要回到它对生活功能和照顾的真实含义。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11" s="48" t="str">
        <x:v>价值澄清,生活方向,点赞之外,心理灵活</x:v>
      </x:c>
      <x:c r="E11" s="48" t="str">
        <x:v>追逐流行目标和平台指标很久，却越来越不知道自己真正想过怎样的生活时。</x:v>
      </x:c>
      <x:c r="F11" s="48" t="str">
        <x:v>参考：Han与Kim，2022互联网ACT元分析；A-Tjak等，2015 ACT元分析。</x:v>
      </x:c>
      <x:c r="G11" s="93" t="str">
        <x:v>是</x:v>
      </x:c>
    </x:row>
    <x:row r="12" ht="132" customHeight="1">
      <x:c r="A12" s="81" t="str">
        <x:v>价值一致的一小步：用行动而非排名确认方向</x:v>
      </x:c>
      <x:c r="B12" s="87" t="str">
        <x:v>自我安抚 / 反比较训练</x:v>
      </x:c>
      <x:c r="C12" s="48" t="str">
        <x:v>## 训练目标
价值如果只停留在文字上，很容易在下一次比较中被覆盖。价值一致行动训练让自我评价逐渐建立在“我是否向重要方向迈步”，而不是“我是否比别人快”。
## 练习步骤
从一个核心价值出发，设计十分钟内能开始的行动：
- 价值是学习：整理一个问题并学习15分钟。
- 价值是亲密：认真回复一个重要的人。
- 价值是创造：写下四句草稿，不公开。
- 价值是健康：准备一顿正常饮食或出门散步。
行动完成后只记录“做了什么、感受怎样、下一次何时继续”，不评价它够不够厉害。
## 反比较重点
同一个价值可以有很多表达方式。别人通过创业体现创造，你也可以通过写作、做饭或解决实际问题体现创造。价值行动没有统一可见度。
## 练习边界
小步行动不是强迫自己在所有情绪下保持生产力。休息、求助和停止不合适的承诺也可能是价值一致的行动。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12" s="48" t="str">
        <x:v>价值行动,小步练习,自我方向,反排名</x:v>
      </x:c>
      <x:c r="E12" s="48" t="str">
        <x:v>知道自己重视什么，却总被别人更快、更大的成果打断，难以持续行动时。</x:v>
      </x:c>
      <x:c r="F12" s="48" t="str">
        <x:v>参考：Han与Kim，2022；Levin等，2012，心理灵活模型成分元分析。</x:v>
      </x:c>
      <x:c r="G12" s="93" t="str">
        <x:v>否</x:v>
      </x:c>
    </x:row>
    <x:row r="13" ht="132" customHeight="1">
      <x:c r="A13" s="81" t="str">
        <x:v>核心价值自我肯定写作</x:v>
      </x:c>
      <x:c r="B13" s="87" t="str">
        <x:v>自我安抚 / 反比较训练</x:v>
      </x:c>
      <x:c r="C13" s="48" t="str">
        <x:v>## 训练目标
当某个领域受到威胁时，人容易把全部自我价值押在这次比较上。价值肯定写作通过回忆对自己重要的价值和具体经历，扩大自我视野，而不是重复“我很棒”这种缺少依据的口号。
## 练习步骤
1. 从价值清单中选一个与当前比较不同的核心价值。
2. 写出它为什么重要。
3. 回忆一次你真正按这个价值行动的具体事件。
4. 写出这段经历说明了你怎样选择和承担，而不是说明你比谁优秀。
5. 最后写：“当前领域的挫败很重要，但它不是我唯一的价值来源。”
每次写10分钟即可，不要同时肯定十个领域。
## 反比较重点
自我肯定不是用其他优点抵消缺点，也不是回避现实反馈。它帮助你在受到威胁时，不把一个数字或一次落后升级为整体身份崩塌。
## 练习边界
元分析显示自我肯定的效应通常较小，并受到情境和实施方式影响。若写作变成夸大自我或否认问题，应回到具体行为和价值。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13" s="48" t="str">
        <x:v>自我肯定,核心价值,身份威胁,写作</x:v>
      </x:c>
      <x:c r="E13" s="48" t="str">
        <x:v>某个领域落后后，开始觉得自己所有方面都没有价值时。</x:v>
      </x:c>
      <x:c r="F13" s="48" t="str">
        <x:v>参考：Zhang等，2025幸福感元分析；Epton等，2015；Escobar-Soler等，2023。</x:v>
      </x:c>
      <x:c r="G13" s="93" t="str">
        <x:v>否</x:v>
      </x:c>
    </x:row>
    <x:row r="14" ht="132" customHeight="1">
      <x:c r="A14" s="81" t="str">
        <x:v>优势识别与使用日志</x:v>
      </x:c>
      <x:c r="B14" s="87" t="str">
        <x:v>自我安抚 / 反比较训练</x:v>
      </x:c>
      <x:c r="C14" s="48" t="str">
        <x:v>## 训练目标
社交媒体比较常聚焦容易展示的结果，却忽略促成生活质量的稳定能力，如好奇、坚持、幽默、审慎、善意和团队合作。优势日志训练识别自己已经在使用的资源，并寻找不过度表演的应用方式。
## 练习步骤
每周选择一项优势：
1. 写出它在你生活中的具体表现，不只写标签。
2. 记录本周哪一次使用得恰当。
3. 写出哪一次使用过度或不足。
4. 设计一次新的、小范围使用，例如用好奇心学习一个问题，用勇气完成一次必要沟通。
5. 周末记录结果，不要求得到外部赞美。
## 反比较重点
优势不是天赋排行榜，也不需要拥有所有优势。别人的可见成就可能依赖某些优势，你可以发展不同组合，而不必复制其路径。
## 练习边界
优势语言不能遮盖资源不足、疾病或结构性限制。若“坚持”已经变成过度消耗，也需要练习审慎、休息和求助。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14" s="48" t="str">
        <x:v>性格优势,优势使用,自我资源,成长</x:v>
      </x:c>
      <x:c r="E14" s="48" t="str">
        <x:v>只看见别人拥有的能力，完全说不出自己日常依靠哪些品质生活时。</x:v>
      </x:c>
      <x:c r="F14" s="48" t="str">
        <x:v>参考：Yan等，2020优势干预系统综述；Green，2022大学生优势干预。</x:v>
      </x:c>
      <x:c r="G14" s="93" t="str">
        <x:v>否</x:v>
      </x:c>
    </x:row>
    <x:row r="15" ht="132" customHeight="1">
      <x:c r="A15" s="81" t="str">
        <x:v>三件“已经拥有”的具体事</x:v>
      </x:c>
      <x:c r="B15" s="87" t="str">
        <x:v>自我安抚 / 反比较训练</x:v>
      </x:c>
      <x:c r="C15" s="48" t="str">
        <x:v>## 训练目标
比较把注意力持续拉向缺少的东西。感恩练习不是要求对痛苦说谢谢，而是训练注意系统同时保留生活中已经存在的支持、资源和体验，避免“别人有、我什么都没有”的绝对化总结。
## 练习步骤
每周三次，每次写三件具体的事：
- 一个人做了什么，让你得到一点支持。
- 身体或环境提供了什么基本帮助。
- 你自己完成或维护了什么。
- 一次普通但真实的舒适体验。
每项补充“为什么对我有意义”，并尽量避免长期重复同一句话。
## 反比较重点
不要把感恩变成“我已经够幸运，所以不许难受”。你可以同时感谢一顿饭，也承认经济压力；感谢朋友，也承认关系中的失望。它增加视野，而不是取消问题。
## 练习边界
元分析显示感恩干预平均效果较小，跨文化和个体差异明显。若练习引发愧疚或被迫积极，可以暂停，改写成“今天有什么对我有一点帮助”。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15" s="48" t="str">
        <x:v>感恩练习,注意平衡,已有资源,具体记录</x:v>
      </x:c>
      <x:c r="E15" s="48" t="str">
        <x:v>连续比较后觉得自己一无所有，看不见生活中仍然存在的支持和资源时。</x:v>
      </x:c>
      <x:c r="F15" s="48" t="str">
        <x:v>参考：Diniz等，2023；Choi等，2025感恩干预元分析；Wong等，2018。</x:v>
      </x:c>
      <x:c r="G15" s="93" t="str">
        <x:v>否</x:v>
      </x:c>
    </x:row>
    <x:row r="16" ht="132" customHeight="1">
      <x:c r="A16" s="81" t="str">
        <x:v>品味一个真实好时刻，不急着发布</x:v>
      </x:c>
      <x:c r="B16" s="87" t="str">
        <x:v>自我安抚 / 反比较训练</x:v>
      </x:c>
      <x:c r="C16" s="48" t="str">
        <x:v>## 训练目标
当每个好时刻都立刻被转化为拍摄、发布和等待反馈，体验本身容易退到后台。品味训练让积极体验先在身体和记忆中停留，再决定是否分享。
## 练习步骤
每天选一个很小的真实时刻，例如好吃的一口、夕阳、完成任务后的放松或一次笑声：
1. 停留20—60秒，不立刻拿手机。
2. 注意感官、情绪和身体变化。
3. 用一句话描述“这一刻对我好在哪里”。
4. 若拍照，先体验再拍，并允许不发布。
5. 晚上回忆一次，观察细节是否仍然清晰。
## 反比较重点
品味不需要证明生活精彩，也不需要与别人的体验相比。一个时刻的价值来自你真实经历了它，而不是有多少人看见。
## 练习边界
品味不是持续追求快乐，也不要求在悲伤时寻找亮点。系统综述提示品味干预可能提升幸福感，但研究异质性较高，应把它当练习而非疗效承诺。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16" s="48" t="str">
        <x:v>品味练习,真实体验,不急发布,积极情绪</x:v>
      </x:c>
      <x:c r="E16" s="48" t="str">
        <x:v>好事情发生时第一反应总是拍照发布，之后却很少记得自己真正感受了什么时。</x:v>
      </x:c>
      <x:c r="F16" s="48" t="str">
        <x:v>参考：Smith等，2024，品味干预系统综述与元分析；Gander等，2016。</x:v>
      </x:c>
      <x:c r="G16" s="93" t="str">
        <x:v>否</x:v>
      </x:c>
    </x:row>
    <x:row r="17" ht="132" customHeight="1">
      <x:c r="A17" s="81" t="str">
        <x:v>关系支持证据簿：记录现实中的连接</x:v>
      </x:c>
      <x:c r="B17" s="87" t="str">
        <x:v>自我安抚 / 反比较训练</x:v>
      </x:c>
      <x:c r="C17" s="48" t="str">
        <x:v>## 训练目标
点赞、已读和群聊反应容易成为关系质量的替代指标。关系支持证据簿记录现实中更有分量的连接证据，减少一次线上冷淡对整体归属感的垄断。
## 练习步骤
每周记录三类具体事件：
1. **被支持**：谁认真听过你、提供过帮助或记得你的需要。
2. **我支持别人**：你怎样回应、陪伴或承担。
3. **关系可以修复**：一次误会、延迟回复或冲突后来怎样发展。
只记录行为事实，不要求关系完美。每月回看：哪些关系值得继续投入，哪些只是通讯录里的存在？
## 反比较重点
别人公开的合照和互动数量不能替代你对关系质量的真实观察。深度连接往往低频、私密，也不适合被平台完整呈现。
## 练习边界
证据簿不应强迫你为伤害性关系寻找优点。若记录长期只有单向付出、控制或贬低，这可能提示需要边界和现实支持，而不是继续自我安抚。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17" s="48" t="str">
        <x:v>关系支持,归属感,连接证据,点赞之外</x:v>
      </x:c>
      <x:c r="E17" s="48" t="str">
        <x:v>一次已读不回或群聊冷场，就让你怀疑自己根本没有任何可靠关系时。</x:v>
      </x:c>
      <x:c r="F17" s="48" t="str">
        <x:v>参考：Gander等，2016，积极关系干预；自我同情与社会连接相关研究框架。</x:v>
      </x:c>
      <x:c r="G17" s="93" t="str">
        <x:v>否</x:v>
      </x:c>
    </x:row>
    <x:row r="18" ht="132" customHeight="1">
      <x:c r="A18" s="81" t="str">
        <x:v>身体功能欣赏书写：从“看起来怎样”转向“能做什么”</x:v>
      </x:c>
      <x:c r="B18" s="87" t="str">
        <x:v>自我安抚 / 反比较训练</x:v>
      </x:c>
      <x:c r="C18" s="48" t="str">
        <x:v>## 训练目标
外貌比较把身体变成被观看和排名的对象。功能欣赏训练关注身体能够完成、感受和承载的事情，例如移动、呼吸、学习、表达、休息和与人连接，从而扩展身体价值。
## 练习步骤
每周进行两到三次短写作，每次选择一个领域：
- 身体帮助我完成了什么行动。
- 感官让我体验了什么。
- 身体如何与别人连接。
- 身体怎样恢复、保护或提醒我需要休息。
- 我可以怎样更实际地照顾这一功能。
使用具体语言，如“腿让我走到教室”，而不是要求自己赞美外貌。
## 反比较重点
练习不需要否认外貌在社会中的影响，也不需要喜欢身体所有部分。目标是减少外貌成为身体唯一价值来源的状态。
## 练习边界
身体功能也存在疾病、残障和限制，不能用“感恩身体能做什么”否定真实痛苦。研究支持功能导向干预具有潜力，但人群和效果存在差异。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18" s="48" t="str">
        <x:v>身体功能,身体欣赏,外貌比较,书写</x:v>
      </x:c>
      <x:c r="E18" s="48" t="str">
        <x:v>刷到高颜值或身材内容后，只能用外貌标准看待自己的身体时。</x:v>
      </x:c>
      <x:c r="F18" s="48" t="str">
        <x:v>参考：Linardon等，2023元分析；Alleva等，2018随机试验；Guest等，2019综述。</x:v>
      </x:c>
      <x:c r="G18" s="93" t="str">
        <x:v>是</x:v>
      </x:c>
    </x:row>
    <x:row r="19" ht="132" customHeight="1">
      <x:c r="A19" s="81" t="str">
        <x:v>中性身体描述：停止每天给外貌打总分</x:v>
      </x:c>
      <x:c r="B19" s="87" t="str">
        <x:v>自我安抚 / 反比较训练</x:v>
      </x:c>
      <x:c r="C19" s="48" t="str">
        <x:v>## 训练目标
从强烈外貌厌恶直接跳到“我很美”可能让人难以相信。中性描述训练先减少持续评价，用颜色、形状、状态和功能等观察性语言替代“丑、失败、不能见人”的整体判决。
## 练习步骤
在镜子前或穿衣时，选择一个低敏感部位，练习三类句子：
1. **观察**：“我的头发今天比较蓬松。”
2. **状态**：“皮肤有一些痘印，今天比昨天干。”
3. **功能或照顾**：“双手让我写字，我可以给它们涂护手霜。”
发现评价词时，不必批评自己，只改写为可观察描述。每次1—2分钟即可。
## 反比较重点
中性语言不需要比别人好，也不要求从外貌获得自信。它训练身体不必每天参加一场内部评分。
## 练习边界
若照镜子会引发长时间检查、进食问题或强烈痛苦，不建议自行增加镜前练习，应寻求身体意象或进食障碍专业支持。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19" s="48" t="str">
        <x:v>身体中性,外貌评价,镜子练习,身体意象</x:v>
      </x:c>
      <x:c r="E19" s="48" t="str">
        <x:v>每天照镜子都自动给外貌打总分，且很难相信积极肯定语时。</x:v>
      </x:c>
      <x:c r="F19" s="48" t="str">
        <x:v>参考：积极身体意象干预综述；Guest等，2019；Liu等，2025数字干预元分析。</x:v>
      </x:c>
      <x:c r="G19" s="93" t="str">
        <x:v>否</x:v>
      </x:c>
    </x:row>
    <x:row r="20" ht="132" customHeight="1">
      <x:c r="A20" s="81" t="str">
        <x:v>把向上比较转化为可选信息，而不是人格判决</x:v>
      </x:c>
      <x:c r="B20" s="87" t="str">
        <x:v>自我安抚 / 反比较训练</x:v>
      </x:c>
      <x:c r="C20" s="48" t="str">
        <x:v>## 训练目标
向上比较既可能带来灵感，也可能变成“他做到了，所以我不行”。本训练保留可用信息，同时切断别人结果与自身整体价值之间的自动等号。
## 练习步骤
选一条让你羡慕或受挫的内容，回答四个问题：
1. 我具体羡慕的是什么：资源、技能、体验、认可还是自由？
2. 其中哪些是我真正重视的，哪些只是看起来有地位？
3. 对方路径中有哪些条件我并不了解或无法复制？
4. 我可以借鉴一个什么小元素，而不复制整套生活？
最后写一句：“这是一个可能的方向，不是我的统一标准。”
## 反比较重点
训练既不贬低对方，也不要求把嫉妒变成动力。你可以得出“我现在不想行动”或“这并不是我的价值”的结论。
## 练习边界
若每次分析都让你继续搜索、研究对方和扩大比较，应停止使用该内容作为材料，转而练习价值澄清或关注管理。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20" s="48" t="str">
        <x:v>向上比较,信息转化,羡慕,个人标准</x:v>
      </x:c>
      <x:c r="E20" s="48" t="str">
        <x:v>看到优秀内容后，既有一点启发，又迅速把它变成对自己整个人的否定时。</x:v>
      </x:c>
      <x:c r="F20" s="48" t="str">
        <x:v>参考：社交媒体素养与自我同情干预；Buehler等，2026；Liu等，2025。</x:v>
      </x:c>
      <x:c r="G20" s="93" t="str">
        <x:v>否</x:v>
      </x:c>
    </x:row>
    <x:row r="21" ht="132" customHeight="1">
      <x:c r="A21" s="82" t="str">
        <x:v>建立自己的“够好标准”，减少平台式无限升级</x:v>
      </x:c>
      <x:c r="B21" s="88" t="str">
        <x:v>自我安抚 / 反比较训练</x:v>
      </x:c>
      <x:c r="C21" s="51" t="str">
        <x:v>## 训练目标
平台不断呈现更高水平，使任何成果都可以被下一条内容立即压过。“够好标准”不是降低所有要求，而是提前定义在当前资源和阶段下，什么程度已经满足核心需要，防止目标无限升级。
## 练习步骤
选择一个容易比较的领域，例如学习、健身、穿搭或创作，写出三层标准：
- **最低维持**：状态差时仍能保护生活的程度。
- **当前够好**：在现阶段资源下可持续、能满足核心目标。
- **理想探索**：有余力时尝试，不完成也不影响自我价值。
每月检查一次标准是否仍符合现实，而不是看到别人后当天提高。
## 反比较重点
别人的理想水平不能直接变成你的最低标准。够好不是停滞，而是让成长拥有边界、成本意识和阶段性。
## 练习边界
标准不能用来忽视明确的安全、职业或学业底线。若你总把“够好”写成接近完美，说明需要重新评估资源、代价和价值优先级。
## 训练建议
先连续练习两到四周，再根据真实体验决定是否保留。每次只选择一种训练，不要同时完成整套清单。若练习引发明显羞耻、反刍或强迫感，应缩短、暂停，或在专业支持下调整。</x:v>
      </x:c>
      <x:c r="D21" s="51" t="str">
        <x:v>够好标准,完美主义,个人标准,目标边界</x:v>
      </x:c>
      <x:c r="E21" s="51" t="str">
        <x:v>无论做到什么，刷到更优秀的人后就立刻提高要求，永远感觉不够时。</x:v>
      </x:c>
      <x:c r="F21" s="51" t="str">
        <x:v>参考：ACT价值生活与心理灵活性元分析；Han与Kim，2022；A-Tjak等，2015。</x:v>
      </x:c>
      <x:c r="G21" s="94" t="str">
        <x:v>否</x:v>
      </x:c>
    </x:row>
  </x:sheetData>
  <x:mergeCells>
    <x:mergeCell ref="A1:G1"/>
    <x:mergeCell ref="A2:G2"/>
  </x:mergeCells>
  <x:conditionalFormatting sqref="G4:G21">
    <x:cfRule type="expression" dxfId="0" priority="1">
      <x:formula>G4="是"</x:formula>
    </x:cfRule>
  </x:conditionalFormatting>
  <x:dataValidations count="2">
    <x:dataValidation type="list" sqref="B4:B21">
      <x:formula1>"自我安抚 / 反比较训练"</x:formula1>
    </x:dataValidation>
    <x:dataValidation type="list" sqref="G4:G2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54ff5cf87b4f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0" hidden="0" customWidth="1"/>
    <x:col min="3" max="3" width="10" hidden="0" customWidth="1"/>
    <x:col min="4" max="4" width="52" hidden="0" customWidth="1"/>
    <x:col min="5" max="5" width="58" hidden="0" customWidth="1"/>
  </x:cols>
  <x:sheetData>
    <x:row r="1" ht="32" customHeight="1">
      <x:c r="A1" s="5" t="str">
        <x:v>自我安抚 / 反比较训练｜训练地图</x:v>
      </x:c>
      <x:c r="B1" s="5"/>
      <x:c r="C1" s="5"/>
      <x:c r="D1" s="5"/>
      <x:c r="E1" s="5"/>
    </x:row>
    <x:row r="2">
      <x:c r="A2" s="13" t="str">
        <x:v>本分类强调数周到数月的持续练习，目标是建立稳定的自我关系和评价体系，不追求立刻消除情绪。</x:v>
      </x:c>
      <x:c r="B2" s="13"/>
      <x:c r="C2" s="13"/>
      <x:c r="D2" s="13"/>
      <x:c r="E2" s="13"/>
    </x:row>
    <x:row r="4">
      <x:c r="A4" s="21" t="str">
        <x:v>训练组</x:v>
      </x:c>
      <x:c r="B4" s="21" t="str">
        <x:v>包含条目</x:v>
      </x:c>
      <x:c r="C4" s="21" t="str">
        <x:v>数量</x:v>
      </x:c>
      <x:c r="D4" s="21" t="str">
        <x:v>主要目标</x:v>
      </x:c>
      <x:c r="E4" s="21" t="str">
        <x:v>与其他分类边界</x:v>
      </x:c>
    </x:row>
    <x:row r="5" ht="70" customHeight="1">
      <x:c r="A5" s="151" t="str">
        <x:v>自我同情与距离</x:v>
      </x:c>
      <x:c r="B5" s="117" t="str">
        <x:v>三步停顿、支持信、教练式语言、共同人性、第三人称对话</x:v>
      </x:c>
      <x:c r="C5" s="157" t="n">
        <x:v>5</x:v>
      </x:c>
      <x:c r="D5" s="117" t="str">
        <x:v>减少比较后的自我攻击、羞耻和反刍</x:v>
      </x:c>
      <x:c r="E5" s="118" t="str">
        <x:v>最高情绪点的立即稳定属于情绪急救；证据检查属于CBT</x:v>
      </x:c>
    </x:row>
    <x:row r="6" ht="70" customHeight="1">
      <x:c r="A6" s="152" t="str">
        <x:v>个人成长参照</x:v>
      </x:c>
      <x:c r="B6" s="120" t="str">
        <x:v>进步证据簿、够好标准</x:v>
      </x:c>
      <x:c r="C6" s="158" t="n">
        <x:v>2</x:v>
      </x:c>
      <x:c r="D6" s="120" t="str">
        <x:v>建立纵向参照和可持续个人标准</x:v>
      </x:c>
      <x:c r="E6" s="121" t="str">
        <x:v>屏幕限额和关注管理属于行动建议</x:v>
      </x:c>
    </x:row>
    <x:row r="7" ht="70" customHeight="1">
      <x:c r="A7" s="152" t="str">
        <x:v>价值与身份</x:v>
      </x:c>
      <x:c r="B7" s="120" t="str">
        <x:v>多维身份、价值排序、价值行动、价值肯定</x:v>
      </x:c>
      <x:c r="C7" s="158" t="n">
        <x:v>4</x:v>
      </x:c>
      <x:c r="D7" s="120" t="str">
        <x:v>让自我价值不只依赖单一排名和公开反馈</x:v>
      </x:c>
      <x:c r="E7" s="121" t="str">
        <x:v>不进行临床诊断或深层创伤处理</x:v>
      </x:c>
    </x:row>
    <x:row r="8" ht="70" customHeight="1">
      <x:c r="A8" s="152" t="str">
        <x:v>资源与积极体验</x:v>
      </x:c>
      <x:c r="B8" s="120" t="str">
        <x:v>优势日志、已有资源、品味时刻、关系证据</x:v>
      </x:c>
      <x:c r="C8" s="158" t="n">
        <x:v>4</x:v>
      </x:c>
      <x:c r="D8" s="120" t="str">
        <x:v>扩展注意范围，保留未公开的资源与连接</x:v>
      </x:c>
      <x:c r="E8" s="121" t="str">
        <x:v>不要求强迫积极，也不否认现实问题</x:v>
      </x:c>
    </x:row>
    <x:row r="9" ht="70" customHeight="1">
      <x:c r="A9" s="152" t="str">
        <x:v>身体反比较</x:v>
      </x:c>
      <x:c r="B9" s="120" t="str">
        <x:v>身体功能欣赏、中性身体描述</x:v>
      </x:c>
      <x:c r="C9" s="158" t="n">
        <x:v>2</x:v>
      </x:c>
      <x:c r="D9" s="120" t="str">
        <x:v>从外貌总评分转向功能和中性观察</x:v>
      </x:c>
      <x:c r="E9" s="121" t="str">
        <x:v>明显进食障碍或强迫检查需专业支持</x:v>
      </x:c>
    </x:row>
    <x:row r="10" ht="70" customHeight="1">
      <x:c r="A10" s="153" t="str">
        <x:v>比较转化</x:v>
      </x:c>
      <x:c r="B10" s="123" t="str">
        <x:v>向上比较转化为可选信息</x:v>
      </x:c>
      <x:c r="C10" s="159" t="n">
        <x:v>1</x:v>
      </x:c>
      <x:c r="D10" s="123" t="str">
        <x:v>保留启发，切断他人成果与人格判决的等号</x:v>
      </x:c>
      <x:c r="E10" s="124" t="str">
        <x:v>内容过滤和静音属于行动建议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9" hidden="0" customWidth="1"/>
    <x:col min="3" max="3" width="66" hidden="0" customWidth="1"/>
    <x:col min="4" max="4" width="40" hidden="0" customWidth="1"/>
    <x:col min="5" max="5" width="28" hidden="0" customWidth="1"/>
    <x:col min="6" max="6" width="47" hidden="0" customWidth="1"/>
    <x:col min="7" max="7" width="58" hidden="0" customWidth="1"/>
  </x:cols>
  <x:sheetData>
    <x:row r="1" ht="32" customHeight="1">
      <x:c r="A1" s="5" t="str">
        <x:v>来源索引｜自我同情、价值、积极心理与身体意象</x:v>
      </x:c>
      <x:c r="B1" s="5"/>
      <x:c r="C1" s="5"/>
      <x:c r="D1" s="5"/>
      <x:c r="E1" s="5"/>
      <x:c r="F1" s="5"/>
      <x:c r="G1" s="5"/>
    </x:row>
    <x:row r="2">
      <x:c r="A2" s="13" t="str">
        <x:v>source_note 使用简写；本页保留完整题名、证据类型和稳定链接。多数训练的平均效应为小到中等，并存在人群、文化和实施方式差异。</x:v>
      </x:c>
      <x:c r="B2" s="13"/>
      <x:c r="C2" s="13"/>
      <x:c r="D2" s="13"/>
      <x:c r="E2" s="13"/>
      <x:c r="F2" s="13"/>
      <x:c r="G2" s="13"/>
    </x:row>
    <x:row r="3">
      <x:c r="A3" s="21" t="str">
        <x:v>编号</x:v>
      </x:c>
      <x:c r="B3" s="21" t="str">
        <x:v>作者 / 年份</x:v>
      </x:c>
      <x:c r="C3" s="21" t="str">
        <x:v>完整题名</x:v>
      </x:c>
      <x:c r="D3" s="21" t="str">
        <x:v>期刊 / 来源</x:v>
      </x:c>
      <x:c r="E3" s="21" t="str">
        <x:v>证据类型</x:v>
      </x:c>
      <x:c r="F3" s="21" t="str">
        <x:v>主要支持主题</x:v>
      </x:c>
      <x:c r="G3" s="21" t="str">
        <x:v>稳定链接</x:v>
      </x:c>
    </x:row>
    <x:row r="4" ht="58" customHeight="1">
      <x:c r="A4" s="163" t="n">
        <x:v>1</x:v>
      </x:c>
      <x:c r="B4" s="45" t="str">
        <x:v>Han与Kim，2023</x:v>
      </x:c>
      <x:c r="C4" s="45" t="str">
        <x:v>Effects of Self-Compassion Interventions on Reducing Depressive Symptoms, Anxiety, and Stress: A Meta-Analysis</x:v>
      </x:c>
      <x:c r="D4" s="45" t="str">
        <x:v>Mindfulness</x:v>
      </x:c>
      <x:c r="E4" s="45" t="str">
        <x:v>随机对照试验元分析</x:v>
      </x:c>
      <x:c r="F4" s="45" t="str">
        <x:v>自我同情练习、支持性自我语言、焦虑与压力</x:v>
      </x:c>
      <x:c r="G4" s="46" t="str">
        <x:v>https://pubmed.ncbi.nlm.nih.gov/37362192/</x:v>
      </x:c>
    </x:row>
    <x:row r="5" ht="58" customHeight="1">
      <x:c r="A5" s="164" t="n">
        <x:v>2</x:v>
      </x:c>
      <x:c r="B5" s="48" t="str">
        <x:v>Marsh等，2018</x:v>
      </x:c>
      <x:c r="C5" s="48" t="str">
        <x:v>Self-compassion and Psychological Distress in Adolescents: A Meta-analysis</x:v>
      </x:c>
      <x:c r="D5" s="48" t="str">
        <x:v>Mindfulness</x:v>
      </x:c>
      <x:c r="E5" s="48" t="str">
        <x:v>相关研究元分析</x:v>
      </x:c>
      <x:c r="F5" s="48" t="str">
        <x:v>自我同情与焦虑、抑郁、压力的关系</x:v>
      </x:c>
      <x:c r="G5" s="49" t="str">
        <x:v>https://pubmed.ncbi.nlm.nih.gov/30100930/</x:v>
      </x:c>
    </x:row>
    <x:row r="6" ht="58" customHeight="1">
      <x:c r="A6" s="164" t="n">
        <x:v>3</x:v>
      </x:c>
      <x:c r="B6" s="48" t="str">
        <x:v>Neff与Germer，2013</x:v>
      </x:c>
      <x:c r="C6" s="48" t="str">
        <x:v>A Pilot Study and Randomized Controlled Trial of the Mindful Self-Compassion Program</x:v>
      </x:c>
      <x:c r="D6" s="48" t="str">
        <x:v>Journal of Clinical Psychology</x:v>
      </x:c>
      <x:c r="E6" s="48" t="str">
        <x:v>随机对照试验</x:v>
      </x:c>
      <x:c r="F6" s="48" t="str">
        <x:v>正念、自我友善、共同人性与自我同情训练</x:v>
      </x:c>
      <x:c r="G6" s="49" t="str">
        <x:v>https://pubmed.ncbi.nlm.nih.gov/23070875/</x:v>
      </x:c>
    </x:row>
    <x:row r="7" ht="58" customHeight="1">
      <x:c r="A7" s="164" t="n">
        <x:v>4</x:v>
      </x:c>
      <x:c r="B7" s="48" t="str">
        <x:v>Wong等，2018</x:v>
      </x:c>
      <x:c r="C7" s="48" t="str">
        <x:v>Does Gratitude Writing Improve the Mental Health of Psychotherapy Clients?</x:v>
      </x:c>
      <x:c r="D7" s="48" t="str">
        <x:v>Psychotherapy Research</x:v>
      </x:c>
      <x:c r="E7" s="48" t="str">
        <x:v>随机对照试验</x:v>
      </x:c>
      <x:c r="F7" s="48" t="str">
        <x:v>感恩书写与心理健康</x:v>
      </x:c>
      <x:c r="G7" s="49" t="str">
        <x:v>https://pubmed.ncbi.nlm.nih.gov/27139595/</x:v>
      </x:c>
    </x:row>
    <x:row r="8" ht="58" customHeight="1">
      <x:c r="A8" s="164" t="n">
        <x:v>5</x:v>
      </x:c>
      <x:c r="B8" s="48" t="str">
        <x:v>Diniz等，2023</x:v>
      </x:c>
      <x:c r="C8" s="48" t="str">
        <x:v>The Effects of Gratitude Interventions: A Systematic Review and Meta-analysis</x:v>
      </x:c>
      <x:c r="D8" s="48" t="str">
        <x:v>Einstein</x:v>
      </x:c>
      <x:c r="E8" s="48" t="str">
        <x:v>系统综述与元分析</x:v>
      </x:c>
      <x:c r="F8" s="48" t="str">
        <x:v>感恩练习、积极情绪、焦虑与抑郁</x:v>
      </x:c>
      <x:c r="G8" s="49" t="str">
        <x:v>https://pubmed.ncbi.nlm.nih.gov/37585888/</x:v>
      </x:c>
    </x:row>
    <x:row r="9" ht="58" customHeight="1">
      <x:c r="A9" s="164" t="n">
        <x:v>6</x:v>
      </x:c>
      <x:c r="B9" s="48" t="str">
        <x:v>Choi等，2025</x:v>
      </x:c>
      <x:c r="C9" s="48" t="str">
        <x:v>A Meta-analysis of the Effectiveness of Gratitude Interventions on Well-being</x:v>
      </x:c>
      <x:c r="D9" s="48" t="str">
        <x:v>Nature Human Behaviour</x:v>
      </x:c>
      <x:c r="E9" s="48" t="str">
        <x:v>元分析</x:v>
      </x:c>
      <x:c r="F9" s="48" t="str">
        <x:v>感恩干预的平均效应与跨文化差异</x:v>
      </x:c>
      <x:c r="G9" s="49" t="str">
        <x:v>https://pubmed.ncbi.nlm.nih.gov/40627390/</x:v>
      </x:c>
    </x:row>
    <x:row r="10" ht="58" customHeight="1">
      <x:c r="A10" s="164" t="n">
        <x:v>7</x:v>
      </x:c>
      <x:c r="B10" s="48" t="str">
        <x:v>Zhang等，2025</x:v>
      </x:c>
      <x:c r="C10" s="48" t="str">
        <x:v>The Impact of Self-Affirmation Interventions on Well-being: A Meta-analysis</x:v>
      </x:c>
      <x:c r="D10" s="48" t="str">
        <x:v>Psychological Bulletin</x:v>
      </x:c>
      <x:c r="E10" s="48" t="str">
        <x:v>元分析</x:v>
      </x:c>
      <x:c r="F10" s="48" t="str">
        <x:v>价值肯定写作与幸福感</x:v>
      </x:c>
      <x:c r="G10" s="49" t="str">
        <x:v>https://pubmed.ncbi.nlm.nih.gov/41143765/</x:v>
      </x:c>
    </x:row>
    <x:row r="11" ht="58" customHeight="1">
      <x:c r="A11" s="164" t="n">
        <x:v>8</x:v>
      </x:c>
      <x:c r="B11" s="48" t="str">
        <x:v>Epton等，2015</x:v>
      </x:c>
      <x:c r="C11" s="48" t="str">
        <x:v>The Impact of Self-Affirmation on Health-Behavior Change: A Meta-analysis</x:v>
      </x:c>
      <x:c r="D11" s="48" t="str">
        <x:v>Health Psychology</x:v>
      </x:c>
      <x:c r="E11" s="48" t="str">
        <x:v>元分析</x:v>
      </x:c>
      <x:c r="F11" s="48" t="str">
        <x:v>自我肯定、价值提醒与威胁信息应对</x:v>
      </x:c>
      <x:c r="G11" s="49" t="str">
        <x:v>https://pubmed.ncbi.nlm.nih.gov/25133846/</x:v>
      </x:c>
    </x:row>
    <x:row r="12" ht="58" customHeight="1">
      <x:c r="A12" s="164" t="n">
        <x:v>9</x:v>
      </x:c>
      <x:c r="B12" s="48" t="str">
        <x:v>Escobar-Soler等，2023</x:v>
      </x:c>
      <x:c r="C12" s="48" t="str">
        <x:v>Effectiveness of Self-Affirmation Interventions in Educational Settings: A Meta-analysis</x:v>
      </x:c>
      <x:c r="D12" s="48" t="str">
        <x:v>Educational Psychology Review</x:v>
      </x:c>
      <x:c r="E12" s="48" t="str">
        <x:v>元分析</x:v>
      </x:c>
      <x:c r="F12" s="48" t="str">
        <x:v>教育情境中的身份威胁与价值肯定</x:v>
      </x:c>
      <x:c r="G12" s="49" t="str">
        <x:v>https://pubmed.ncbi.nlm.nih.gov/38200909/</x:v>
      </x:c>
    </x:row>
    <x:row r="13" ht="58" customHeight="1">
      <x:c r="A13" s="164" t="n">
        <x:v>10</x:v>
      </x:c>
      <x:c r="B13" s="48" t="str">
        <x:v>Han与Kim，2022</x:v>
      </x:c>
      <x:c r="C13" s="48" t="str">
        <x:v>The Effects of Internet-Based Acceptance and Commitment Therapy on Process Measures</x:v>
      </x:c>
      <x:c r="D13" s="48" t="str">
        <x:v>Journal of Medical Internet Research</x:v>
      </x:c>
      <x:c r="E13" s="48" t="str">
        <x:v>系统综述与元分析</x:v>
      </x:c>
      <x:c r="F13" s="48" t="str">
        <x:v>心理灵活性、价值生活、认知解离与正念</x:v>
      </x:c>
      <x:c r="G13" s="49" t="str">
        <x:v>https://pubmed.ncbi.nlm.nih.gov/36040783/</x:v>
      </x:c>
    </x:row>
    <x:row r="14" ht="58" customHeight="1">
      <x:c r="A14" s="164" t="n">
        <x:v>11</x:v>
      </x:c>
      <x:c r="B14" s="48" t="str">
        <x:v>A-Tjak等，2015</x:v>
      </x:c>
      <x:c r="C14" s="48" t="str">
        <x:v>A Meta-analysis of the Efficacy of Acceptance and Commitment Therapy for Clinically Relevant Mental and Physical Health Problems</x:v>
      </x:c>
      <x:c r="D14" s="48" t="str">
        <x:v>Psychotherapy and Psychosomatics</x:v>
      </x:c>
      <x:c r="E14" s="48" t="str">
        <x:v>元分析</x:v>
      </x:c>
      <x:c r="F14" s="48" t="str">
        <x:v>接纳承诺疗法、价值行动与心理灵活性</x:v>
      </x:c>
      <x:c r="G14" s="49" t="str">
        <x:v>https://pubmed.ncbi.nlm.nih.gov/25547522/</x:v>
      </x:c>
    </x:row>
    <x:row r="15" ht="58" customHeight="1">
      <x:c r="A15" s="164" t="n">
        <x:v>12</x:v>
      </x:c>
      <x:c r="B15" s="48" t="str">
        <x:v>Yan等，2020</x:v>
      </x:c>
      <x:c r="C15" s="48" t="str">
        <x:v>A Systematic Review of the Effects of Character Strengths-Based Intervention on the Psychological Well-Being of Patients</x:v>
      </x:c>
      <x:c r="D15" s="48" t="str">
        <x:v>Journal of Psychiatric and Mental Health Nursing</x:v>
      </x:c>
      <x:c r="E15" s="48" t="str">
        <x:v>系统综述</x:v>
      </x:c>
      <x:c r="F15" s="48" t="str">
        <x:v>优势识别、优势使用与幸福感</x:v>
      </x:c>
      <x:c r="G15" s="49" t="str">
        <x:v>https://pubmed.ncbi.nlm.nih.gov/32187708/</x:v>
      </x:c>
    </x:row>
    <x:row r="16" ht="58" customHeight="1">
      <x:c r="A16" s="164" t="n">
        <x:v>13</x:v>
      </x:c>
      <x:c r="B16" s="48" t="str">
        <x:v>Green，2022</x:v>
      </x:c>
      <x:c r="C16" s="48" t="str">
        <x:v>Character Strengths Intervention for Nurturing Well-Being Among Pakistan's University Students</x:v>
      </x:c>
      <x:c r="D16" s="48" t="str">
        <x:v>Journal of Happiness Studies</x:v>
      </x:c>
      <x:c r="E16" s="48" t="str">
        <x:v>干预研究</x:v>
      </x:c>
      <x:c r="F16" s="48" t="str">
        <x:v>优势观察、优势使用和大学生幸福感</x:v>
      </x:c>
      <x:c r="G16" s="49" t="str">
        <x:v>https://pubmed.ncbi.nlm.nih.gov/34431238/</x:v>
      </x:c>
    </x:row>
    <x:row r="17" ht="58" customHeight="1">
      <x:c r="A17" s="164" t="n">
        <x:v>14</x:v>
      </x:c>
      <x:c r="B17" s="48" t="str">
        <x:v>Gander等，2016</x:v>
      </x:c>
      <x:c r="C17" s="48" t="str">
        <x:v>Positive Psychology Interventions Addressing Pleasure, Engagement, Meaning, Positive Relationships, and Accomplishment</x:v>
      </x:c>
      <x:c r="D17" s="48" t="str">
        <x:v>Frontiers in Psychology</x:v>
      </x:c>
      <x:c r="E17" s="48" t="str">
        <x:v>随机在线干预研究</x:v>
      </x:c>
      <x:c r="F17" s="48" t="str">
        <x:v>愉悦、投入、意义、关系和成就记录</x:v>
      </x:c>
      <x:c r="G17" s="49" t="str">
        <x:v>https://pubmed.ncbi.nlm.nih.gov/27242600/</x:v>
      </x:c>
    </x:row>
    <x:row r="18" ht="58" customHeight="1">
      <x:c r="A18" s="164" t="n">
        <x:v>15</x:v>
      </x:c>
      <x:c r="B18" s="48" t="str">
        <x:v>Smith等，2024</x:v>
      </x:c>
      <x:c r="C18" s="48" t="str">
        <x:v>The Effectiveness of Savouring Interventions on Well-being: A Meta-analysis</x:v>
      </x:c>
      <x:c r="D18" s="48" t="str">
        <x:v>Current Psychology</x:v>
      </x:c>
      <x:c r="E18" s="48" t="str">
        <x:v>系统综述与元分析</x:v>
      </x:c>
      <x:c r="F18" s="48" t="str">
        <x:v>品味积极体验、积极情绪与幸福感</x:v>
      </x:c>
      <x:c r="G18" s="49" t="str">
        <x:v>https://pubmed.ncbi.nlm.nih.gov/38626110/</x:v>
      </x:c>
    </x:row>
    <x:row r="19" ht="58" customHeight="1">
      <x:c r="A19" s="164" t="n">
        <x:v>16</x:v>
      </x:c>
      <x:c r="B19" s="48" t="str">
        <x:v>Linardon等，2023</x:v>
      </x:c>
      <x:c r="C19" s="48" t="str">
        <x:v>Functionality Appreciation and Its Correlates: Systematic Review and Meta-analysis</x:v>
      </x:c>
      <x:c r="D19" s="48" t="str">
        <x:v>Body Image</x:v>
      </x:c>
      <x:c r="E19" s="48" t="str">
        <x:v>系统综述与元分析</x:v>
      </x:c>
      <x:c r="F19" s="48" t="str">
        <x:v>身体功能欣赏与正向身体意象</x:v>
      </x:c>
      <x:c r="G19" s="49" t="str">
        <x:v>https://pubmed.ncbi.nlm.nih.gov/36796304/</x:v>
      </x:c>
    </x:row>
    <x:row r="20" ht="58" customHeight="1">
      <x:c r="A20" s="164" t="n">
        <x:v>17</x:v>
      </x:c>
      <x:c r="B20" s="48" t="str">
        <x:v>Alleva等，2018</x:v>
      </x:c>
      <x:c r="C20" s="48" t="str">
        <x:v>A Randomised-Controlled Trial Investigating Potential Underlying Mechanisms of a Functionality-Based Approach to Improving Women's Body Image</x:v>
      </x:c>
      <x:c r="D20" s="48" t="str">
        <x:v>Body Image</x:v>
      </x:c>
      <x:c r="E20" s="48" t="str">
        <x:v>随机对照试验</x:v>
      </x:c>
      <x:c r="F20" s="48" t="str">
        <x:v>身体功能书写训练与身体意象</x:v>
      </x:c>
      <x:c r="G20" s="49" t="str">
        <x:v>https://pubmed.ncbi.nlm.nih.gov/29522927/</x:v>
      </x:c>
    </x:row>
    <x:row r="21" ht="58" customHeight="1">
      <x:c r="A21" s="164" t="n">
        <x:v>18</x:v>
      </x:c>
      <x:c r="B21" s="48" t="str">
        <x:v>Guest等，2019</x:v>
      </x:c>
      <x:c r="C21" s="48" t="str">
        <x:v>The Effectiveness of Interventions Aiming to Promote Positive Body Image in Adults</x:v>
      </x:c>
      <x:c r="D21" s="48" t="str">
        <x:v>Body Image</x:v>
      </x:c>
      <x:c r="E21" s="48" t="str">
        <x:v>系统综述</x:v>
      </x:c>
      <x:c r="F21" s="48" t="str">
        <x:v>身体欣赏、自我同情与功能导向干预</x:v>
      </x:c>
      <x:c r="G21" s="49" t="str">
        <x:v>https://pubmed.ncbi.nlm.nih.gov/31077956/</x:v>
      </x:c>
    </x:row>
    <x:row r="22" ht="58" customHeight="1">
      <x:c r="A22" s="164" t="n">
        <x:v>19</x:v>
      </x:c>
      <x:c r="B22" s="48" t="str">
        <x:v>Kross等，2014</x:v>
      </x:c>
      <x:c r="C22" s="48" t="str">
        <x:v>Self-talk as a Regulatory Mechanism: How You Do It Matters</x:v>
      </x:c>
      <x:c r="D22" s="48" t="str">
        <x:v>Journal of Personality and Social Psychology</x:v>
      </x:c>
      <x:c r="E22" s="48" t="str">
        <x:v>实验研究</x:v>
      </x:c>
      <x:c r="F22" s="48" t="str">
        <x:v>第三人称自我对话与自我距离</x:v>
      </x:c>
      <x:c r="G22" s="49" t="str">
        <x:v>https://pubmed.ncbi.nlm.nih.gov/24467424/</x:v>
      </x:c>
    </x:row>
    <x:row r="23" ht="58" customHeight="1">
      <x:c r="A23" s="164" t="n">
        <x:v>20</x:v>
      </x:c>
      <x:c r="B23" s="48" t="str">
        <x:v>Kross与Ayduk，2011</x:v>
      </x:c>
      <x:c r="C23" s="48" t="str">
        <x:v>The Effect of Self-Distancing on Adaptive Versus Maladaptive Self-Reflection</x:v>
      </x:c>
      <x:c r="D23" s="48" t="str">
        <x:v>Journal of Experimental Social Psychology</x:v>
      </x:c>
      <x:c r="E23" s="48" t="str">
        <x:v>实验研究</x:v>
      </x:c>
      <x:c r="F23" s="48" t="str">
        <x:v>自我距离、反刍与适应性反思</x:v>
      </x:c>
      <x:c r="G23" s="49" t="str">
        <x:v>https://pubmed.ncbi.nlm.nih.gov/21728415/</x:v>
      </x:c>
    </x:row>
    <x:row r="24" ht="58" customHeight="1">
      <x:c r="A24" s="164" t="n">
        <x:v>21</x:v>
      </x:c>
      <x:c r="B24" s="48" t="str">
        <x:v>Liu等，2025</x:v>
      </x:c>
      <x:c r="C24" s="48" t="str">
        <x:v>Digital Interventions for Improving Body Dissatisfaction in Children and Emerging Adults: Systematic Review and Meta-analysis</x:v>
      </x:c>
      <x:c r="D24" s="48" t="str">
        <x:v>Interactive Journal of Medical Research</x:v>
      </x:c>
      <x:c r="E24" s="48" t="str">
        <x:v>系统综述与元分析</x:v>
      </x:c>
      <x:c r="F24" s="48" t="str">
        <x:v>外貌比较、自我同情、身体意象与数字干预</x:v>
      </x:c>
      <x:c r="G24" s="49" t="str">
        <x:v>https://pubmed.ncbi.nlm.nih.gov/40801791/</x:v>
      </x:c>
    </x:row>
    <x:row r="25" ht="58" customHeight="1">
      <x:c r="A25" s="165" t="n">
        <x:v>22</x:v>
      </x:c>
      <x:c r="B25" s="51" t="str">
        <x:v>Buehler等，2026</x:v>
      </x:c>
      <x:c r="C25" s="51" t="str">
        <x:v>Combining Social Media Literacy with Self-Compassion to Improve Body Image</x:v>
      </x:c>
      <x:c r="D25" s="51" t="str">
        <x:v>Body Image</x:v>
      </x:c>
      <x:c r="E25" s="51" t="str">
        <x:v>随机干预研究</x:v>
      </x:c>
      <x:c r="F25" s="51" t="str">
        <x:v>社交媒体素养、自我同情与外貌比较</x:v>
      </x:c>
      <x:c r="G25" s="52" t="str">
        <x:v>https://pubmed.ncbi.nlm.nih.gov/41643221/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195bc4e79c64a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60" hidden="0" customWidth="1"/>
    <x:col min="4" max="4" width="56" hidden="0" customWidth="1"/>
  </x:cols>
  <x:sheetData>
    <x:row r="1" ht="32" customHeight="1">
      <x:c r="A1" s="5" t="str">
        <x:v>自我安抚 / 反比较训练｜使用边界</x:v>
      </x:c>
      <x:c r="B1" s="5"/>
      <x:c r="C1" s="5"/>
      <x:c r="D1" s="5"/>
    </x:row>
    <x:row r="3">
      <x:c r="A3" s="21" t="str">
        <x:v>情况</x:v>
      </x:c>
      <x:c r="B3" s="21" t="str">
        <x:v>本分类适合做什么</x:v>
      </x:c>
      <x:c r="C3" s="21" t="str">
        <x:v>不适合自行处理什么</x:v>
      </x:c>
      <x:c r="D3" s="21" t="str">
        <x:v>建议</x:v>
      </x:c>
    </x:row>
    <x:row r="4" ht="66" customHeight="1">
      <x:c r="A4" s="151" t="str">
        <x:v>一般比较与自我批评</x:v>
      </x:c>
      <x:c r="B4" s="117" t="str">
        <x:v>持续练习友善语言、价值澄清、个人进步和关系证据</x:v>
      </x:c>
      <x:c r="C4" s="117" t="str">
        <x:v>要求一次练习立即消除比较</x:v>
      </x:c>
      <x:c r="D4" s="118" t="str">
        <x:v>每次只选一种训练，至少观察两周</x:v>
      </x:c>
    </x:row>
    <x:row r="5" ht="66" customHeight="1">
      <x:c r="A5" s="152" t="str">
        <x:v>强烈情绪或恐慌</x:v>
      </x:c>
      <x:c r="B5" s="120" t="str">
        <x:v>情绪下降后再进行长期练习</x:v>
      </x:c>
      <x:c r="C5" s="120" t="str">
        <x:v>在最高点写长信、深挖价值或强迫感恩</x:v>
      </x:c>
      <x:c r="D5" s="121" t="str">
        <x:v>先使用情绪急救步骤</x:v>
      </x:c>
    </x:row>
    <x:row r="6" ht="66" customHeight="1">
      <x:c r="A6" s="152" t="str">
        <x:v>现实网暴、歧视或关系伤害</x:v>
      </x:c>
      <x:c r="B6" s="120" t="str">
        <x:v>帮助维护自我尊严和现实支持</x:v>
      </x:c>
      <x:c r="C6" s="120" t="str">
        <x:v>把现实伤害全部解释为自己太敏感</x:v>
      </x:c>
      <x:c r="D6" s="121" t="str">
        <x:v>同时采取边界、取证、求助和必要法律措施</x:v>
      </x:c>
    </x:row>
    <x:row r="7" ht="66" customHeight="1">
      <x:c r="A7" s="152" t="str">
        <x:v>进食障碍、身体强迫检查</x:v>
      </x:c>
      <x:c r="B7" s="120" t="str">
        <x:v>可在专业指导下使用身体功能和中性语言</x:v>
      </x:c>
      <x:c r="C7" s="120" t="str">
        <x:v>自行增加照镜子、称重或外貌暴露</x:v>
      </x:c>
      <x:c r="D7" s="121" t="str">
        <x:v>寻求进食障碍或身体意象专业支持</x:v>
      </x:c>
    </x:row>
    <x:row r="8" ht="66" customHeight="1">
      <x:c r="A8" s="153" t="str">
        <x:v>持续抑郁、自伤想法或功能受损</x:v>
      </x:c>
      <x:c r="B8" s="123" t="str">
        <x:v>本分类不能作为唯一支持</x:v>
      </x:c>
      <x:c r="C8" s="123" t="str">
        <x:v>独自依靠感恩、自我同情或价值行动解决危机</x:v>
      </x:c>
      <x:c r="D8" s="124" t="str">
        <x:v>尽快联系专业人员和当地紧急支持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48" hidden="0" customWidth="1"/>
  </x:cols>
  <x:sheetData>
    <x:row r="1" ht="32" customHeight="1">
      <x:c r="A1" s="5" t="str">
        <x:v>知识库质量检查｜自我安抚 / 反比较训练</x:v>
      </x:c>
      <x:c r="B1" s="5"/>
      <x:c r="C1" s="5"/>
      <x:c r="D1" s="5"/>
    </x:row>
    <x:row r="3">
      <x:c r="A3" s="21" t="str">
        <x:v>检查项目</x:v>
      </x:c>
      <x:c r="B3" s="21" t="str">
        <x:v>结果</x:v>
      </x:c>
      <x:c r="C3" s="21" t="str">
        <x:v>状态</x:v>
      </x:c>
      <x:c r="D3" s="21" t="str">
        <x:v>标准 / 说明</x:v>
      </x:c>
    </x:row>
    <x:row r="4" ht="28" customHeight="1">
      <x:c r="A4" s="151" t="str">
        <x:v>正式条目总数</x:v>
      </x:c>
      <x:c r="B4" s="157" t="n">
        <x:f>COUNTA('导入表'!A4:A21)</x:f>
        <x:v>18</x:v>
      </x:c>
      <x:c r="C4" s="157" t="str">
        <x:f>IF(B4=18,"通过","需检查")</x:f>
        <x:v>通过</x:v>
      </x:c>
      <x:c r="D4" s="118" t="str">
        <x:v>本版目标：18 条</x:v>
      </x:c>
    </x:row>
    <x:row r="5" ht="28" customHeight="1">
      <x:c r="A5" s="152" t="str">
        <x:v>空标题数量</x:v>
      </x:c>
      <x:c r="B5" s="158" t="n">
        <x:f>COUNTIF('导入表'!A4:A21,"")</x:f>
        <x:v>0</x:v>
      </x:c>
      <x:c r="C5" s="158" t="str">
        <x:f>IF(B5=0,"通过","需修正")</x:f>
        <x:v>通过</x:v>
      </x:c>
      <x:c r="D5" s="121" t="str">
        <x:v>必须为 0</x:v>
      </x:c>
    </x:row>
    <x:row r="6" ht="28" customHeight="1">
      <x:c r="A6" s="152" t="str">
        <x:v>空正文数量</x:v>
      </x:c>
      <x:c r="B6" s="158" t="n">
        <x:f>COUNTIF('导入表'!C4:C21,"")</x:f>
        <x:v>0</x:v>
      </x:c>
      <x:c r="C6" s="158" t="str">
        <x:f>IF(B6=0,"通过","需修正")</x:f>
        <x:v>通过</x:v>
      </x:c>
      <x:c r="D6" s="121" t="str">
        <x:v>必须为 0</x:v>
      </x:c>
    </x:row>
    <x:row r="7" ht="28" customHeight="1">
      <x:c r="A7" s="152" t="str">
        <x:v>分类名称不一致数量</x:v>
      </x:c>
      <x:c r="B7" s="158" t="n">
        <x:f>COUNTIF('导入表'!B4:B21,"&lt;&gt;自我安抚 / 反比较训练")</x:f>
        <x:v>0</x:v>
      </x:c>
      <x:c r="C7" s="158" t="str">
        <x:f>IF(B7=0,"通过","需修正")</x:f>
        <x:v>通过</x:v>
      </x:c>
      <x:c r="D7" s="121" t="str">
        <x:v>必须为 0</x:v>
      </x:c>
    </x:row>
    <x:row r="8" ht="28" customHeight="1">
      <x:c r="A8" s="152" t="str">
        <x:v>首页推荐数量</x:v>
      </x:c>
      <x:c r="B8" s="158" t="n">
        <x:f>COUNTIF('导入表'!G4:G21,"是")</x:f>
        <x:v>4</x:v>
      </x:c>
      <x:c r="C8" s="158" t="str">
        <x:f>IF(AND(B8&gt;=B4*15%,B8&lt;=B4*25%),"通过","需调整")</x:f>
        <x:v>通过</x:v>
      </x:c>
      <x:c r="D8" s="121" t="str">
        <x:v>建议占总数 15%—25%</x:v>
      </x:c>
    </x:row>
    <x:row r="9" ht="28" customHeight="1">
      <x:c r="A9" s="152" t="str">
        <x:v>首页推荐占比</x:v>
      </x:c>
      <x:c r="B9" s="169" t="n">
        <x:f>B8/B4</x:f>
        <x:v>0.2222222222222222</x:v>
      </x:c>
      <x:c r="C9" s="158" t="str">
        <x:f>IF(AND(B9&gt;=15%,B9&lt;=25%),"通过","需调整")</x:f>
        <x:v>通过</x:v>
      </x:c>
      <x:c r="D9" s="121" t="str">
        <x:v>建议 15%—25%</x:v>
      </x:c>
    </x:row>
    <x:row r="10" ht="28" customHeight="1">
      <x:c r="A10" s="152" t="str">
        <x:v>无效推荐值数量</x:v>
      </x:c>
      <x:c r="B10" s="158" t="n">
        <x:f>COUNTIF('导入表'!G4:G21,"&lt;&gt;是")-COUNTIF('导入表'!G4:G21,"否")</x:f>
        <x:v>0</x:v>
      </x:c>
      <x:c r="C10" s="158" t="str">
        <x:f>IF(B10=0,"通过","需修正")</x:f>
        <x:v>通过</x:v>
      </x:c>
      <x:c r="D10" s="121" t="str">
        <x:v>只能为“是”或“否”</x:v>
      </x:c>
    </x:row>
    <x:row r="11" ht="28" customHeight="1">
      <x:c r="A11" s="152" t="str">
        <x:v>重复标题数量</x:v>
      </x:c>
      <x:c r="B11" s="158" t="n">
        <x:v>0</x:v>
      </x:c>
      <x:c r="C11" s="158" t="str">
        <x:f>IF(B11=0,"通过","需修正")</x:f>
        <x:v>通过</x:v>
      </x:c>
      <x:c r="D11" s="121" t="str">
        <x:v>必须为 0</x:v>
      </x:c>
    </x:row>
    <x:row r="12" ht="28" customHeight="1">
      <x:c r="A12" s="152" t="str">
        <x:v>标题最大长度</x:v>
      </x:c>
      <x:c r="B12" s="158" t="n">
        <x:v>25</x:v>
      </x:c>
      <x:c r="C12" s="158" t="str">
        <x:f>IF(B12&lt;=60,"通过","需修正")</x:f>
        <x:v>通过</x:v>
      </x:c>
      <x:c r="D12" s="121" t="str">
        <x:v>≤60 字</x:v>
      </x:c>
    </x:row>
    <x:row r="13" ht="28" customHeight="1">
      <x:c r="A13" s="152" t="str">
        <x:v>正文最短长度</x:v>
      </x:c>
      <x:c r="B13" s="158" t="n">
        <x:v>452</x:v>
      </x:c>
      <x:c r="C13" s="158" t="str">
        <x:f>IF(B13&gt;=400,"通过","需检查")</x:f>
        <x:v>通过</x:v>
      </x:c>
      <x:c r="D13" s="121" t="str">
        <x:v>建议 ≥400 字</x:v>
      </x:c>
    </x:row>
    <x:row r="14" ht="28" customHeight="1">
      <x:c r="A14" s="152" t="str">
        <x:v>正文最大长度</x:v>
      </x:c>
      <x:c r="B14" s="158" t="n">
        <x:v>546</x:v>
      </x:c>
      <x:c r="C14" s="158" t="str">
        <x:f>IF(B14&lt;=5000,"通过","需修正")</x:f>
        <x:v>通过</x:v>
      </x:c>
      <x:c r="D14" s="121" t="str">
        <x:v>≤5000 字</x:v>
      </x:c>
    </x:row>
    <x:row r="15" ht="28" customHeight="1">
      <x:c r="A15" s="152" t="str">
        <x:v>单条最多标签数</x:v>
      </x:c>
      <x:c r="B15" s="158" t="n">
        <x:v>4</x:v>
      </x:c>
      <x:c r="C15" s="158" t="str">
        <x:f>IF(B15&lt;=5,"通过","需修正")</x:f>
        <x:v>通过</x:v>
      </x:c>
      <x:c r="D15" s="121" t="str">
        <x:v>≤5 个</x:v>
      </x:c>
    </x:row>
    <x:row r="16" ht="28" customHeight="1">
      <x:c r="A16" s="152" t="str">
        <x:v>最长单个标签</x:v>
      </x:c>
      <x:c r="B16" s="158" t="n">
        <x:v>4</x:v>
      </x:c>
      <x:c r="C16" s="158" t="str">
        <x:f>IF(B16&lt;=10,"通过","需修正")</x:f>
        <x:v>通过</x:v>
      </x:c>
      <x:c r="D16" s="121" t="str">
        <x:v>≤10 字</x:v>
      </x:c>
    </x:row>
    <x:row r="17" ht="28" customHeight="1">
      <x:c r="A17" s="152" t="str">
        <x:v>适用场景最大长度</x:v>
      </x:c>
      <x:c r="B17" s="158" t="n">
        <x:v>35</x:v>
      </x:c>
      <x:c r="C17" s="158" t="str">
        <x:f>IF(B17&lt;=200,"通过","需修正")</x:f>
        <x:v>通过</x:v>
      </x:c>
      <x:c r="D17" s="121" t="str">
        <x:v>≤200 字</x:v>
      </x:c>
    </x:row>
    <x:row r="18" ht="28" customHeight="1">
      <x:c r="A18" s="153" t="str">
        <x:v>来源说明最大长度</x:v>
      </x:c>
      <x:c r="B18" s="159" t="n">
        <x:v>53</x:v>
      </x:c>
      <x:c r="C18" s="159" t="str">
        <x:f>IF(B18&lt;=200,"通过","需修正")</x:f>
        <x:v>通过</x:v>
      </x:c>
      <x:c r="D18" s="124" t="str">
        <x:v>≤200 字</x:v>
      </x:c>
    </x:row>
  </x:sheetData>
  <x:mergeCells>
    <x:mergeCell ref="A1:D1"/>
  </x:mergeCells>
  <x:conditionalFormatting sqref="C4:C18">
    <x:cfRule type="expression" dxfId="1" priority="1">
      <x:formula>C4="通过"</x:formula>
    </x:cfRule>
    <x:cfRule type="expression" dxfId="2" priority="2">
      <x:formula>C4&lt;&gt;"通过"</x:formula>
    </x:cfRule>
  </x:conditionalFormatting>
  <x:pageMargins left="0.7" right="0.7" top="0.75" bottom="0.75" header="0.3" footer="0.3"/>
</x:worksheet>
</file>