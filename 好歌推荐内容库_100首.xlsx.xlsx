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f48ef2fe764d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表" sheetId="1" r:id="Rbe26c182136a4941"/>
    <x:sheet xmlns:r="http://schemas.openxmlformats.org/officeDocument/2006/relationships" name="场景分类" sheetId="2" r:id="Rf960d81b5e8640b0"/>
    <x:sheet xmlns:r="http://schemas.openxmlformats.org/officeDocument/2006/relationships" name="质量检查" sheetId="3" r:id="Rfdfaa77c59b0486a"/>
    <x:sheet xmlns:r="http://schemas.openxmlformats.org/officeDocument/2006/relationships" name="导入说明" sheetId="4" r:id="R3440196d35f54a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4495E"/>
      <x:name val="Carlito"/>
    </x:font>
    <x:font>
      <x:b/>
      <x:sz val="11"/>
      <x:color rgb="FFFFFFFF"/>
      <x:name val="Carlito"/>
    </x:font>
    <x:font>
      <x:sz val="10"/>
      <x:color rgb="FF203040"/>
      <x:name val="Carlito"/>
    </x:font>
    <x:font>
      <x:b/>
      <x:sz val="10"/>
      <x:color rgb="FF34495E"/>
      <x:name val="Carlito"/>
    </x:font>
    <x:font>
      <x:b/>
      <x:sz val="11"/>
      <x:color rgb="FF34495E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34495E"/>
      </x:patternFill>
    </x:fill>
    <x:fill>
      <x:patternFill patternType="solid">
        <x:fgColor rgb="FFEAF2F8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6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13" xfId="0" applyNumberFormat="1" applyFont="1" applyFill="1" applyBorder="1"/>
    <x:xf numFmtId="0" fontId="4" fillId="0" borderId="14" xfId="0" applyNumberFormat="1" applyFont="1" applyFill="1" applyBorder="1"/>
    <x:xf numFmtId="0" fontId="4" fillId="0" borderId="15" xfId="0" applyNumberFormat="1" applyFont="1" applyFill="1" applyBorder="1"/>
    <x:xf numFmtId="0" fontId="4" fillId="0" borderId="16" xfId="0" applyNumberFormat="1" applyFont="1" applyFill="1" applyBorder="1"/>
    <x:xf numFmtId="0" fontId="4" fillId="0" borderId="17" xfId="0" applyNumberFormat="1" applyFont="1" applyFill="1" applyBorder="1"/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13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5" xfId="0" applyNumberFormat="1" applyFont="1" applyFill="1" applyBorder="1" applyAlignment="1">
      <x:alignment wrapText="1"/>
    </x:xf>
    <x:xf numFmtId="0" fontId="4" fillId="0" borderId="16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0" fontId="4" fillId="0" borderId="13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14" xfId="0" applyNumberFormat="1" applyFont="1" applyFill="1" applyBorder="1" applyAlignment="1">
      <x:alignment vertical="top" wrapText="1"/>
    </x:xf>
    <x:xf numFmtId="0" fontId="4" fillId="0" borderId="15" xfId="0" applyNumberFormat="1" applyFont="1" applyFill="1" applyBorder="1" applyAlignment="1">
      <x:alignment vertical="top" wrapText="1"/>
    </x:xf>
    <x:xf numFmtId="0" fontId="4" fillId="0" borderId="16" xfId="0" applyNumberFormat="1" applyFont="1" applyFill="1" applyBorder="1" applyAlignment="1">
      <x:alignment vertical="top" wrapText="1"/>
    </x:xf>
    <x:xf numFmtId="0" fontId="4" fillId="0" borderId="17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vertical="top" wrapText="1"/>
    </x:xf>
    <x:xf numFmtId="0" fontId="5" fillId="0" borderId="10" xfId="0" applyNumberFormat="1" applyFont="1" applyFill="1" applyBorder="1" applyAlignment="1">
      <x:alignment vertical="top" wrapText="1"/>
    </x:xf>
    <x:xf numFmtId="0" fontId="5" fillId="0" borderId="13" xfId="0" applyNumberFormat="1" applyFont="1" applyFill="1" applyBorder="1" applyAlignment="1">
      <x:alignment vertical="top" wrapText="1"/>
    </x:xf>
    <x:xf numFmtId="0" fontId="5" fillId="0" borderId="15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 applyAlignment="1">
      <x:alignment horizontal="center" vertical="top" wrapText="1"/>
    </x:xf>
    <x:xf numFmtId="0" fontId="4" fillId="0" borderId="8" xfId="0" applyNumberFormat="1" applyFont="1" applyFill="1" applyBorder="1" applyAlignment="1">
      <x:alignment horizontal="center" vertical="top" wrapText="1"/>
    </x:xf>
    <x:xf numFmtId="0" fontId="4" fillId="0" borderId="11" xfId="0" applyNumberFormat="1" applyFont="1" applyFill="1" applyBorder="1" applyAlignment="1">
      <x:alignment horizontal="center" vertical="top" wrapText="1"/>
    </x:xf>
    <x:xf numFmtId="0" fontId="4" fillId="0" borderId="1" xfId="0" applyNumberFormat="1" applyFont="1" applyFill="1" applyBorder="1" applyAlignment="1">
      <x:alignment horizontal="center" vertical="top" wrapText="1"/>
    </x:xf>
    <x:xf numFmtId="0" fontId="4" fillId="0" borderId="16" xfId="0" applyNumberFormat="1" applyFont="1" applyFill="1" applyBorder="1" applyAlignment="1">
      <x:alignment horizontal="center" vertical="top" wrapText="1"/>
    </x:xf>
    <x:xf numFmtId="0" fontId="4" fillId="0" borderId="4" xfId="0" applyNumberFormat="1" applyFont="1" applyFill="1" applyBorder="1" applyAlignment="1">
      <x:alignment horizontal="center" vertical="top" wrapText="1"/>
    </x:xf>
    <x:xf numFmtId="0" fontId="4" fillId="0" borderId="6" xfId="0" applyNumberFormat="1" applyFont="1" applyFill="1" applyBorder="1" applyAlignment="1">
      <x:alignment horizontal="center" vertical="top" wrapText="1"/>
    </x:xf>
    <x:xf numFmtId="0" fontId="4" fillId="0" borderId="9" xfId="0" applyNumberFormat="1" applyFont="1" applyFill="1" applyBorder="1" applyAlignment="1">
      <x:alignment horizontal="center" vertical="top" wrapText="1"/>
    </x:xf>
    <x:xf numFmtId="0" fontId="4" fillId="0" borderId="12" xfId="0" applyNumberFormat="1" applyFont="1" applyFill="1" applyBorder="1" applyAlignment="1">
      <x:alignment horizontal="center" vertical="top" wrapText="1"/>
    </x:xf>
    <x:xf numFmtId="0" fontId="4" fillId="0" borderId="14" xfId="0" applyNumberFormat="1" applyFont="1" applyFill="1" applyBorder="1" applyAlignment="1">
      <x:alignment horizontal="center" vertical="top" wrapText="1"/>
    </x:xf>
    <x:xf numFmtId="0" fontId="4" fillId="0" borderId="17" xfId="0" applyNumberFormat="1" applyFont="1" applyFill="1" applyBorder="1" applyAlignment="1">
      <x:alignment horizontal="center" vertical="top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6" fillId="0" borderId="7" xfId="0" applyNumberFormat="1" applyFont="1" applyFill="1" applyBorder="1" applyAlignment="1">
      <x:alignment vertical="top" wrapText="1"/>
    </x:xf>
    <x:xf numFmtId="0" fontId="6" fillId="0" borderId="10" xfId="0" applyNumberFormat="1" applyFont="1" applyFill="1" applyBorder="1" applyAlignment="1">
      <x:alignment vertical="top" wrapText="1"/>
    </x:xf>
    <x:xf numFmtId="0" fontId="6" fillId="0" borderId="13" xfId="0" applyNumberFormat="1" applyFont="1" applyFill="1" applyBorder="1" applyAlignment="1">
      <x:alignment vertical="top" wrapText="1"/>
    </x:xf>
    <x:xf numFmtId="0" fontId="6" fillId="0" borderId="15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8" xfId="0" applyNumberFormat="1" applyFont="1" applyFill="1" applyBorder="1" applyAlignment="1">
      <x:alignment horizontal="center" vertical="top" wrapText="1"/>
    </x:xf>
    <x:xf numFmtId="0" fontId="0" fillId="0" borderId="1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0" borderId="16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39ed5227024f03" /><Relationship Type="http://schemas.openxmlformats.org/officeDocument/2006/relationships/theme" Target="/xl/theme/theme1.xml" Id="Rd7d98317e35744db" /><Relationship Type="http://schemas.openxmlformats.org/officeDocument/2006/relationships/sharedStrings" Target="/xl/sharedStrings.xml" Id="R0c82d2ea3b0d4713" /><Relationship Type="http://schemas.openxmlformats.org/officeDocument/2006/relationships/worksheet" Target="/xl/worksheets/sheet1.xml" Id="Rbe26c182136a4941" /><Relationship Type="http://schemas.openxmlformats.org/officeDocument/2006/relationships/worksheet" Target="/xl/worksheets/sheet2.xml" Id="Rf960d81b5e8640b0" /><Relationship Type="http://schemas.openxmlformats.org/officeDocument/2006/relationships/worksheet" Target="/xl/worksheets/sheet3.xml" Id="Rfdfaa77c59b0486a" /><Relationship Type="http://schemas.openxmlformats.org/officeDocument/2006/relationships/worksheet" Target="/xl/worksheets/sheet4.xml" Id="R3440196d35f54a76" /></Relationships>
</file>

<file path=xl/tables/table1.xml><?xml version="1.0" encoding="utf-8"?>
<x:table xmlns:x="http://schemas.openxmlformats.org/spreadsheetml/2006/main" id="1" name="MusicRecommendationNoPoolTable" displayName="MusicRecommendationNoPoolTable" ref="A3:G103" headerRowCount="1">
  <x:tableColumns count="7">
    <x:tableColumn id="1" name="title"/>
    <x:tableColumn id="2" name="artist"/>
    <x:tableColumn id="3" name="description"/>
    <x:tableColumn id="4" name="scene"/>
    <x:tableColumn id="5" name="language"/>
    <x:tableColumn id="6" name="mood_tags"/>
    <x:tableColumn id="7" name="is_activ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a38fba7c5db490e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48" hidden="0" customWidth="1"/>
    <x:col min="4" max="4" width="26" hidden="0" customWidth="1"/>
    <x:col min="5" max="5" width="14" hidden="0" customWidth="1"/>
    <x:col min="6" max="6" width="24" hidden="0" customWidth="1"/>
    <x:col min="7" max="7" width="12" hidden="0" customWidth="1"/>
  </x:cols>
  <x:sheetData>
    <x:row r="1" ht="32" customHeight="1">
      <x:c r="A1" s="5" t="str">
        <x:v>好歌推荐内容库｜100 首</x:v>
      </x:c>
      <x:c r="B1" s="5"/>
      <x:c r="C1" s="5"/>
      <x:c r="D1" s="5"/>
      <x:c r="E1" s="5"/>
      <x:c r="F1" s="5"/>
      <x:c r="G1" s="5"/>
    </x:row>
    <x:row r="2" ht="28" customHeight="1">
      <x:c r="A2" s="13" t="str">
        <x:v>用于产品首页或内容后台随机展示：歌名、歌手、推荐语、情绪场景、语种、标签、是否启用。不设置首页推荐池。</x:v>
      </x:c>
      <x:c r="B2" s="13"/>
      <x:c r="C2" s="13"/>
      <x:c r="D2" s="13"/>
      <x:c r="E2" s="13"/>
      <x:c r="F2" s="13"/>
      <x:c r="G2" s="13"/>
    </x:row>
    <x:row r="3">
      <x:c r="A3" s="21" t="str">
        <x:v>title</x:v>
      </x:c>
      <x:c r="B3" s="21" t="str">
        <x:v>artist</x:v>
      </x:c>
      <x:c r="C3" s="21" t="str">
        <x:v>description</x:v>
      </x:c>
      <x:c r="D3" s="21" t="str">
        <x:v>scene</x:v>
      </x:c>
      <x:c r="E3" s="21" t="str">
        <x:v>language</x:v>
      </x:c>
      <x:c r="F3" s="21" t="str">
        <x:v>mood_tags</x:v>
      </x:c>
      <x:c r="G3" s="21" t="str">
        <x:v>is_active</x:v>
      </x:c>
    </x:row>
    <x:row r="4" ht="42" customHeight="1">
      <x:c r="A4" s="80" t="str">
        <x:v>稻香</x:v>
      </x:c>
      <x:c r="B4" s="45" t="str">
        <x:v>周杰伦</x:v>
      </x:c>
      <x:c r="C4" s="45" t="str">
        <x:v>当你觉得自己落后时，先回到生活本身。</x:v>
      </x:c>
      <x:c r="D4" s="45" t="str">
        <x:v>比较焦虑 / 学业压力</x:v>
      </x:c>
      <x:c r="E4" s="86" t="str">
        <x:v>中文</x:v>
      </x:c>
      <x:c r="F4" s="45" t="str">
        <x:v>安抚,生活,低落</x:v>
      </x:c>
      <x:c r="G4" s="92" t="str">
        <x:v>是</x:v>
      </x:c>
    </x:row>
    <x:row r="5" ht="42" customHeight="1">
      <x:c r="A5" s="81" t="str">
        <x:v>七里香</x:v>
      </x:c>
      <x:c r="B5" s="48" t="str">
        <x:v>周杰伦</x:v>
      </x:c>
      <x:c r="C5" s="48" t="str">
        <x:v>适合把注意力从屏幕拉回风、树和真实生活。</x:v>
      </x:c>
      <x:c r="D5" s="48" t="str">
        <x:v>注意力回到现实</x:v>
      </x:c>
      <x:c r="E5" s="87" t="str">
        <x:v>中文</x:v>
      </x:c>
      <x:c r="F5" s="48" t="str">
        <x:v>清新,现实,放松</x:v>
      </x:c>
      <x:c r="G5" s="93" t="str">
        <x:v>是</x:v>
      </x:c>
    </x:row>
    <x:row r="6" ht="42" customHeight="1">
      <x:c r="A6" s="81" t="str">
        <x:v>晴天</x:v>
      </x:c>
      <x:c r="B6" s="48" t="str">
        <x:v>周杰伦</x:v>
      </x:c>
      <x:c r="C6" s="48" t="str">
        <x:v>有些情绪不是失败，只是你还在某段记忆里下雨。</x:v>
      </x:c>
      <x:c r="D6" s="48" t="str">
        <x:v>怀旧 / 情绪低落</x:v>
      </x:c>
      <x:c r="E6" s="87" t="str">
        <x:v>中文</x:v>
      </x:c>
      <x:c r="F6" s="48" t="str">
        <x:v>怀旧,失落,雨天</x:v>
      </x:c>
      <x:c r="G6" s="93" t="str">
        <x:v>是</x:v>
      </x:c>
    </x:row>
    <x:row r="7" ht="42" customHeight="1">
      <x:c r="A7" s="81" t="str">
        <x:v>轨迹</x:v>
      </x:c>
      <x:c r="B7" s="48" t="str">
        <x:v>周杰伦</x:v>
      </x:c>
      <x:c r="C7" s="48" t="str">
        <x:v>适合想起一个人，但又不想立刻去打扰的时候。</x:v>
      </x:c>
      <x:c r="D7" s="48" t="str">
        <x:v>关系焦虑 / 想念</x:v>
      </x:c>
      <x:c r="E7" s="87" t="str">
        <x:v>中文</x:v>
      </x:c>
      <x:c r="F7" s="48" t="str">
        <x:v>想念,克制,夜晚</x:v>
      </x:c>
      <x:c r="G7" s="93" t="str">
        <x:v>是</x:v>
      </x:c>
    </x:row>
    <x:row r="8" ht="42" customHeight="1">
      <x:c r="A8" s="81" t="str">
        <x:v>蒲公英的约定</x:v>
      </x:c>
      <x:c r="B8" s="48" t="str">
        <x:v>周杰伦</x:v>
      </x:c>
      <x:c r="C8" s="48" t="str">
        <x:v>有些过去不必反复追问，记得它曾经温柔就好。</x:v>
      </x:c>
      <x:c r="D8" s="48" t="str">
        <x:v>怀旧 / 关系回忆</x:v>
      </x:c>
      <x:c r="E8" s="87" t="str">
        <x:v>中文</x:v>
      </x:c>
      <x:c r="F8" s="48" t="str">
        <x:v>怀旧,温柔,回忆</x:v>
      </x:c>
      <x:c r="G8" s="93" t="str">
        <x:v>是</x:v>
      </x:c>
    </x:row>
    <x:row r="9" ht="42" customHeight="1">
      <x:c r="A9" s="81" t="str">
        <x:v>一路向北</x:v>
      </x:c>
      <x:c r="B9" s="48" t="str">
        <x:v>周杰伦</x:v>
      </x:c>
      <x:c r="C9" s="48" t="str">
        <x:v>适合把遗憾放在路上，不再逼自己马上释怀。</x:v>
      </x:c>
      <x:c r="D9" s="48" t="str">
        <x:v>遗憾 / 分离</x:v>
      </x:c>
      <x:c r="E9" s="87" t="str">
        <x:v>中文</x:v>
      </x:c>
      <x:c r="F9" s="48" t="str">
        <x:v>遗憾,离开,夜路</x:v>
      </x:c>
      <x:c r="G9" s="93" t="str">
        <x:v>是</x:v>
      </x:c>
    </x:row>
    <x:row r="10" ht="42" customHeight="1">
      <x:c r="A10" s="81" t="str">
        <x:v>搁浅</x:v>
      </x:c>
      <x:c r="B10" s="48" t="str">
        <x:v>周杰伦</x:v>
      </x:c>
      <x:c r="C10" s="48" t="str">
        <x:v>当心里还有没说完的话，可以先让旋律替你停一会儿。</x:v>
      </x:c>
      <x:c r="D10" s="48" t="str">
        <x:v>难以释怀</x:v>
      </x:c>
      <x:c r="E10" s="87" t="str">
        <x:v>中文</x:v>
      </x:c>
      <x:c r="F10" s="48" t="str">
        <x:v>遗憾,压抑,独处</x:v>
      </x:c>
      <x:c r="G10" s="93" t="str">
        <x:v>是</x:v>
      </x:c>
    </x:row>
    <x:row r="11" ht="42" customHeight="1">
      <x:c r="A11" s="81" t="str">
        <x:v>不能说的秘密</x:v>
      </x:c>
      <x:c r="B11" s="48" t="str">
        <x:v>周杰伦</x:v>
      </x:c>
      <x:c r="C11" s="48" t="str">
        <x:v>有些心事说不出来，也可以先被自己听见。</x:v>
      </x:c>
      <x:c r="D11" s="48" t="str">
        <x:v>秘密 / 暗恋</x:v>
      </x:c>
      <x:c r="E11" s="87" t="str">
        <x:v>中文</x:v>
      </x:c>
      <x:c r="F11" s="48" t="str">
        <x:v>心事,暗恋,钢琴</x:v>
      </x:c>
      <x:c r="G11" s="93" t="str">
        <x:v>是</x:v>
      </x:c>
    </x:row>
    <x:row r="12" ht="42" customHeight="1">
      <x:c r="A12" s="81" t="str">
        <x:v>花海</x:v>
      </x:c>
      <x:c r="B12" s="48" t="str">
        <x:v>周杰伦</x:v>
      </x:c>
      <x:c r="C12" s="48" t="str">
        <x:v>适合情绪被拉远时，慢慢回到柔和一点的地方。</x:v>
      </x:c>
      <x:c r="D12" s="48" t="str">
        <x:v>情绪降噪</x:v>
      </x:c>
      <x:c r="E12" s="87" t="str">
        <x:v>中文</x:v>
      </x:c>
      <x:c r="F12" s="48" t="str">
        <x:v>温柔,放松,治愈</x:v>
      </x:c>
      <x:c r="G12" s="93" t="str">
        <x:v>是</x:v>
      </x:c>
    </x:row>
    <x:row r="13" ht="42" customHeight="1">
      <x:c r="A13" s="81" t="str">
        <x:v>彩虹</x:v>
      </x:c>
      <x:c r="B13" s="48" t="str">
        <x:v>周杰伦</x:v>
      </x:c>
      <x:c r="C13" s="48" t="str">
        <x:v>当你很想要一个答案，可以先给自己一点等待的空间。</x:v>
      </x:c>
      <x:c r="D13" s="48" t="str">
        <x:v>关系不确定</x:v>
      </x:c>
      <x:c r="E13" s="87" t="str">
        <x:v>中文</x:v>
      </x:c>
      <x:c r="F13" s="48" t="str">
        <x:v>等待,关系,安静</x:v>
      </x:c>
      <x:c r="G13" s="93" t="str">
        <x:v>是</x:v>
      </x:c>
    </x:row>
    <x:row r="14" ht="42" customHeight="1">
      <x:c r="A14" s="81" t="str">
        <x:v>普通朋友</x:v>
      </x:c>
      <x:c r="B14" s="48" t="str">
        <x:v>陶喆</x:v>
      </x:c>
      <x:c r="C14" s="48" t="str">
        <x:v>有些关系不用急着定义，听完先把自己放回原位。</x:v>
      </x:c>
      <x:c r="D14" s="48" t="str">
        <x:v>关系边界</x:v>
      </x:c>
      <x:c r="E14" s="87" t="str">
        <x:v>中文</x:v>
      </x:c>
      <x:c r="F14" s="48" t="str">
        <x:v>关系,克制,R&amp;B</x:v>
      </x:c>
      <x:c r="G14" s="93" t="str">
        <x:v>是</x:v>
      </x:c>
    </x:row>
    <x:row r="15" ht="42" customHeight="1">
      <x:c r="A15" s="81" t="str">
        <x:v>爱，很简单</x:v>
      </x:c>
      <x:c r="B15" s="48" t="str">
        <x:v>陶喆</x:v>
      </x:c>
      <x:c r="C15" s="48" t="str">
        <x:v>适合在心里很乱的时候，重新相信一点简单的东西。</x:v>
      </x:c>
      <x:c r="D15" s="48" t="str">
        <x:v>心乱 / 需要安抚</x:v>
      </x:c>
      <x:c r="E15" s="87" t="str">
        <x:v>中文</x:v>
      </x:c>
      <x:c r="F15" s="48" t="str">
        <x:v>温暖,简单,爱</x:v>
      </x:c>
      <x:c r="G15" s="93" t="str">
        <x:v>是</x:v>
      </x:c>
    </x:row>
    <x:row r="16" ht="42" customHeight="1">
      <x:c r="A16" s="81" t="str">
        <x:v>Melody</x:v>
      </x:c>
      <x:c r="B16" s="48" t="str">
        <x:v>陶喆</x:v>
      </x:c>
      <x:c r="C16" s="48" t="str">
        <x:v>不是所有遗憾都需要马上解决，有些只适合慢慢听完。</x:v>
      </x:c>
      <x:c r="D16" s="48" t="str">
        <x:v>遗憾 / 想念</x:v>
      </x:c>
      <x:c r="E16" s="87" t="str">
        <x:v>中文</x:v>
      </x:c>
      <x:c r="F16" s="48" t="str">
        <x:v>遗憾,怀念,R&amp;B</x:v>
      </x:c>
      <x:c r="G16" s="93" t="str">
        <x:v>是</x:v>
      </x:c>
    </x:row>
    <x:row r="17" ht="42" customHeight="1">
      <x:c r="A17" s="81" t="str">
        <x:v>黑色柳丁</x:v>
      </x:c>
      <x:c r="B17" s="48" t="str">
        <x:v>陶喆</x:v>
      </x:c>
      <x:c r="C17" s="48" t="str">
        <x:v>当世界很吵，这首歌像一次清醒的自我对话。</x:v>
      </x:c>
      <x:c r="D17" s="48" t="str">
        <x:v>烦躁 / 清醒</x:v>
      </x:c>
      <x:c r="E17" s="87" t="str">
        <x:v>中文</x:v>
      </x:c>
      <x:c r="F17" s="48" t="str">
        <x:v>清醒,自我,力量</x:v>
      </x:c>
      <x:c r="G17" s="93" t="str">
        <x:v>是</x:v>
      </x:c>
    </x:row>
    <x:row r="18" ht="42" customHeight="1">
      <x:c r="A18" s="81" t="str">
        <x:v>寂寞的季节</x:v>
      </x:c>
      <x:c r="B18" s="48" t="str">
        <x:v>陶喆</x:v>
      </x:c>
      <x:c r="C18" s="48" t="str">
        <x:v>适合承认自己有点孤独，但不把孤独当成失败。</x:v>
      </x:c>
      <x:c r="D18" s="48" t="str">
        <x:v>孤独 / 空落</x:v>
      </x:c>
      <x:c r="E18" s="87" t="str">
        <x:v>中文</x:v>
      </x:c>
      <x:c r="F18" s="48" t="str">
        <x:v>孤独,秋天,安静</x:v>
      </x:c>
      <x:c r="G18" s="93" t="str">
        <x:v>是</x:v>
      </x:c>
    </x:row>
    <x:row r="19" ht="42" customHeight="1">
      <x:c r="A19" s="81" t="str">
        <x:v>沙滩</x:v>
      </x:c>
      <x:c r="B19" s="48" t="str">
        <x:v>陶喆</x:v>
      </x:c>
      <x:c r="C19" s="48" t="str">
        <x:v>适合把自己从紧绷里带出来，听见一点海风。</x:v>
      </x:c>
      <x:c r="D19" s="48" t="str">
        <x:v>放松 / 情绪松动</x:v>
      </x:c>
      <x:c r="E19" s="87" t="str">
        <x:v>中文</x:v>
      </x:c>
      <x:c r="F19" s="48" t="str">
        <x:v>海边,放松,R&amp;B</x:v>
      </x:c>
      <x:c r="G19" s="93" t="str">
        <x:v>是</x:v>
      </x:c>
    </x:row>
    <x:row r="20" ht="42" customHeight="1">
      <x:c r="A20" s="81" t="str">
        <x:v>就是爱你</x:v>
      </x:c>
      <x:c r="B20" s="48" t="str">
        <x:v>陶喆</x:v>
      </x:c>
      <x:c r="C20" s="48" t="str">
        <x:v>适合把复杂心事短暂放下，回到直接的喜欢。</x:v>
      </x:c>
      <x:c r="D20" s="48" t="str">
        <x:v>甜蜜 / 轻松</x:v>
      </x:c>
      <x:c r="E20" s="87" t="str">
        <x:v>中文</x:v>
      </x:c>
      <x:c r="F20" s="48" t="str">
        <x:v>轻松,喜欢,温暖</x:v>
      </x:c>
      <x:c r="G20" s="93" t="str">
        <x:v>是</x:v>
      </x:c>
    </x:row>
    <x:row r="21" ht="42" customHeight="1">
      <x:c r="A21" s="81" t="str">
        <x:v>流沙</x:v>
      </x:c>
      <x:c r="B21" s="48" t="str">
        <x:v>陶喆</x:v>
      </x:c>
      <x:c r="C21" s="48" t="str">
        <x:v>当关系越想抓住越流走，可以先停下手里的用力。</x:v>
      </x:c>
      <x:c r="D21" s="48" t="str">
        <x:v>关系失控感</x:v>
      </x:c>
      <x:c r="E21" s="87" t="str">
        <x:v>中文</x:v>
      </x:c>
      <x:c r="F21" s="48" t="str">
        <x:v>关系,失控,R&amp;B</x:v>
      </x:c>
      <x:c r="G21" s="93" t="str">
        <x:v>是</x:v>
      </x:c>
    </x:row>
    <x:row r="22" ht="42" customHeight="1">
      <x:c r="A22" s="81" t="str">
        <x:v>修炼爱情</x:v>
      </x:c>
      <x:c r="B22" s="48" t="str">
        <x:v>林俊杰</x:v>
      </x:c>
      <x:c r="C22" s="48" t="str">
        <x:v>有些痛苦不是软弱，是你真的认真爱过。</x:v>
      </x:c>
      <x:c r="D22" s="48" t="str">
        <x:v>失恋 / 情绪修复</x:v>
      </x:c>
      <x:c r="E22" s="87" t="str">
        <x:v>中文</x:v>
      </x:c>
      <x:c r="F22" s="48" t="str">
        <x:v>失恋,成长,痛感</x:v>
      </x:c>
      <x:c r="G22" s="93" t="str">
        <x:v>是</x:v>
      </x:c>
    </x:row>
    <x:row r="23" ht="42" customHeight="1">
      <x:c r="A23" s="81" t="str">
        <x:v>她说</x:v>
      </x:c>
      <x:c r="B23" s="48" t="str">
        <x:v>林俊杰</x:v>
      </x:c>
      <x:c r="C23" s="48" t="str">
        <x:v>适合在安静的夜里，把说不出口的情绪放下来。</x:v>
      </x:c>
      <x:c r="D23" s="48" t="str">
        <x:v>夜晚 / 难过</x:v>
      </x:c>
      <x:c r="E23" s="87" t="str">
        <x:v>中文</x:v>
      </x:c>
      <x:c r="F23" s="48" t="str">
        <x:v>夜晚,难过,安静</x:v>
      </x:c>
      <x:c r="G23" s="93" t="str">
        <x:v>是</x:v>
      </x:c>
    </x:row>
    <x:row r="24" ht="42" customHeight="1">
      <x:c r="A24" s="81" t="str">
        <x:v>江南</x:v>
      </x:c>
      <x:c r="B24" s="48" t="str">
        <x:v>林俊杰</x:v>
      </x:c>
      <x:c r="C24" s="48" t="str">
        <x:v>旋律很旧，但旧歌有时候刚好能接住今天的你。</x:v>
      </x:c>
      <x:c r="D24" s="48" t="str">
        <x:v>怀旧 / 情绪陪伴</x:v>
      </x:c>
      <x:c r="E24" s="87" t="str">
        <x:v>中文</x:v>
      </x:c>
      <x:c r="F24" s="48" t="str">
        <x:v>怀旧,温柔,经典</x:v>
      </x:c>
      <x:c r="G24" s="93" t="str">
        <x:v>是</x:v>
      </x:c>
    </x:row>
    <x:row r="25" ht="42" customHeight="1">
      <x:c r="A25" s="81" t="str">
        <x:v>交换余生</x:v>
      </x:c>
      <x:c r="B25" s="48" t="str">
        <x:v>林俊杰</x:v>
      </x:c>
      <x:c r="C25" s="48" t="str">
        <x:v>当你总在想如果当初，可以先听完这一首。</x:v>
      </x:c>
      <x:c r="D25" s="48" t="str">
        <x:v>反事实思考</x:v>
      </x:c>
      <x:c r="E25" s="87" t="str">
        <x:v>中文</x:v>
      </x:c>
      <x:c r="F25" s="48" t="str">
        <x:v>如果,遗憾,深情</x:v>
      </x:c>
      <x:c r="G25" s="93" t="str">
        <x:v>是</x:v>
      </x:c>
    </x:row>
    <x:row r="26" ht="42" customHeight="1">
      <x:c r="A26" s="81" t="str">
        <x:v>可惜没如果</x:v>
      </x:c>
      <x:c r="B26" s="48" t="str">
        <x:v>林俊杰</x:v>
      </x:c>
      <x:c r="C26" s="48" t="str">
        <x:v>适合给无法重来的事一个出口，不再反复惩罚自己。</x:v>
      </x:c>
      <x:c r="D26" s="48" t="str">
        <x:v>后悔 / 自责</x:v>
      </x:c>
      <x:c r="E26" s="87" t="str">
        <x:v>中文</x:v>
      </x:c>
      <x:c r="F26" s="48" t="str">
        <x:v>后悔,遗憾,释怀</x:v>
      </x:c>
      <x:c r="G26" s="93" t="str">
        <x:v>是</x:v>
      </x:c>
    </x:row>
    <x:row r="27" ht="42" customHeight="1">
      <x:c r="A27" s="81" t="str">
        <x:v>那些你很冒险的梦</x:v>
      </x:c>
      <x:c r="B27" s="48" t="str">
        <x:v>林俊杰</x:v>
      </x:c>
      <x:c r="C27" s="48" t="str">
        <x:v>有些梦没有抵达，也不代表它们不曾认真存在。</x:v>
      </x:c>
      <x:c r="D27" s="48" t="str">
        <x:v>理想受挫</x:v>
      </x:c>
      <x:c r="E27" s="87" t="str">
        <x:v>中文</x:v>
      </x:c>
      <x:c r="F27" s="48" t="str">
        <x:v>理想,遗憾,成长</x:v>
      </x:c>
      <x:c r="G27" s="93" t="str">
        <x:v>是</x:v>
      </x:c>
    </x:row>
    <x:row r="28" ht="42" customHeight="1">
      <x:c r="A28" s="81" t="str">
        <x:v>关键词</x:v>
      </x:c>
      <x:c r="B28" s="48" t="str">
        <x:v>林俊杰</x:v>
      </x:c>
      <x:c r="C28" s="48" t="str">
        <x:v>适合把爱意、失落和心事慢慢整理成一句话。</x:v>
      </x:c>
      <x:c r="D28" s="48" t="str">
        <x:v>关系整理</x:v>
      </x:c>
      <x:c r="E28" s="87" t="str">
        <x:v>中文</x:v>
      </x:c>
      <x:c r="F28" s="48" t="str">
        <x:v>关系,温柔,表达</x:v>
      </x:c>
      <x:c r="G28" s="93" t="str">
        <x:v>是</x:v>
      </x:c>
    </x:row>
    <x:row r="29" ht="42" customHeight="1">
      <x:c r="A29" s="81" t="str">
        <x:v>不为谁而作的歌</x:v>
      </x:c>
      <x:c r="B29" s="48" t="str">
        <x:v>林俊杰</x:v>
      </x:c>
      <x:c r="C29" s="48" t="str">
        <x:v>当你总想被证明，可以听一首不为了谁的歌。</x:v>
      </x:c>
      <x:c r="D29" s="48" t="str">
        <x:v>自我价值</x:v>
      </x:c>
      <x:c r="E29" s="87" t="str">
        <x:v>中文</x:v>
      </x:c>
      <x:c r="F29" s="48" t="str">
        <x:v>自我,证明,力量</x:v>
      </x:c>
      <x:c r="G29" s="93" t="str">
        <x:v>是</x:v>
      </x:c>
    </x:row>
    <x:row r="30" ht="42" customHeight="1">
      <x:c r="A30" s="81" t="str">
        <x:v>海阔天空</x:v>
      </x:c>
      <x:c r="B30" s="48" t="str">
        <x:v>Beyond</x:v>
      </x:c>
      <x:c r="C30" s="48" t="str">
        <x:v>适合觉得自己快撑不住时，提醒自己还有远方。</x:v>
      </x:c>
      <x:c r="D30" s="48" t="str">
        <x:v>压力 / 低谷</x:v>
      </x:c>
      <x:c r="E30" s="87" t="str">
        <x:v>粤语</x:v>
      </x:c>
      <x:c r="F30" s="48" t="str">
        <x:v>力量,远方,坚持</x:v>
      </x:c>
      <x:c r="G30" s="93" t="str">
        <x:v>是</x:v>
      </x:c>
    </x:row>
    <x:row r="31" ht="42" customHeight="1">
      <x:c r="A31" s="81" t="str">
        <x:v>光辉岁月</x:v>
      </x:c>
      <x:c r="B31" s="48" t="str">
        <x:v>Beyond</x:v>
      </x:c>
      <x:c r="C31" s="48" t="str">
        <x:v>不是每一天都要赢，但每一天都可以不投降。</x:v>
      </x:c>
      <x:c r="D31" s="48" t="str">
        <x:v>挫败 / 坚持</x:v>
      </x:c>
      <x:c r="E31" s="87" t="str">
        <x:v>粤语</x:v>
      </x:c>
      <x:c r="F31" s="48" t="str">
        <x:v>坚持,信念,经典</x:v>
      </x:c>
      <x:c r="G31" s="93" t="str">
        <x:v>是</x:v>
      </x:c>
    </x:row>
    <x:row r="32" ht="42" customHeight="1">
      <x:c r="A32" s="81" t="str">
        <x:v>冷雨夜</x:v>
      </x:c>
      <x:c r="B32" s="48" t="str">
        <x:v>Beyond</x:v>
      </x:c>
      <x:c r="C32" s="48" t="str">
        <x:v>适合一个人散步，慢慢把情绪走完。</x:v>
      </x:c>
      <x:c r="D32" s="48" t="str">
        <x:v>孤独 / 夜晚</x:v>
      </x:c>
      <x:c r="E32" s="87" t="str">
        <x:v>粤语</x:v>
      </x:c>
      <x:c r="F32" s="48" t="str">
        <x:v>夜晚,孤独,散步</x:v>
      </x:c>
      <x:c r="G32" s="93" t="str">
        <x:v>是</x:v>
      </x:c>
    </x:row>
    <x:row r="33" ht="42" customHeight="1">
      <x:c r="A33" s="81" t="str">
        <x:v>灰色轨迹</x:v>
      </x:c>
      <x:c r="B33" s="48" t="str">
        <x:v>Beyond</x:v>
      </x:c>
      <x:c r="C33" s="48" t="str">
        <x:v>有些迷茫不用解释，先让它被听见。</x:v>
      </x:c>
      <x:c r="D33" s="48" t="str">
        <x:v>迷茫 / 空白</x:v>
      </x:c>
      <x:c r="E33" s="87" t="str">
        <x:v>粤语</x:v>
      </x:c>
      <x:c r="F33" s="48" t="str">
        <x:v>迷茫,低落,经典</x:v>
      </x:c>
      <x:c r="G33" s="93" t="str">
        <x:v>是</x:v>
      </x:c>
    </x:row>
    <x:row r="34" ht="42" customHeight="1">
      <x:c r="A34" s="81" t="str">
        <x:v>喜欢你</x:v>
      </x:c>
      <x:c r="B34" s="48" t="str">
        <x:v>Beyond</x:v>
      </x:c>
      <x:c r="C34" s="48" t="str">
        <x:v>适合把柔软藏进旋律里，不急着说破。</x:v>
      </x:c>
      <x:c r="D34" s="48" t="str">
        <x:v>暗恋 / 温柔</x:v>
      </x:c>
      <x:c r="E34" s="87" t="str">
        <x:v>粤语</x:v>
      </x:c>
      <x:c r="F34" s="48" t="str">
        <x:v>喜欢,温柔,怀旧</x:v>
      </x:c>
      <x:c r="G34" s="93" t="str">
        <x:v>是</x:v>
      </x:c>
    </x:row>
    <x:row r="35" ht="42" customHeight="1">
      <x:c r="A35" s="81" t="str">
        <x:v>真的爱你</x:v>
      </x:c>
      <x:c r="B35" s="48" t="str">
        <x:v>Beyond</x:v>
      </x:c>
      <x:c r="C35" s="48" t="str">
        <x:v>适合想起被照顾的时刻，也提醒自己值得被善待。</x:v>
      </x:c>
      <x:c r="D35" s="48" t="str">
        <x:v>亲情 / 感恩</x:v>
      </x:c>
      <x:c r="E35" s="87" t="str">
        <x:v>粤语</x:v>
      </x:c>
      <x:c r="F35" s="48" t="str">
        <x:v>亲情,温暖,感恩</x:v>
      </x:c>
      <x:c r="G35" s="93" t="str">
        <x:v>是</x:v>
      </x:c>
    </x:row>
    <x:row r="36" ht="42" customHeight="1">
      <x:c r="A36" s="81" t="str">
        <x:v>遥远的她</x:v>
      </x:c>
      <x:c r="B36" s="48" t="str">
        <x:v>张学友</x:v>
      </x:c>
      <x:c r="C36" s="48" t="str">
        <x:v>有些距离不会因为反复查看动态就变近。</x:v>
      </x:c>
      <x:c r="D36" s="48" t="str">
        <x:v>异地 / 想念</x:v>
      </x:c>
      <x:c r="E36" s="87" t="str">
        <x:v>粤语</x:v>
      </x:c>
      <x:c r="F36" s="48" t="str">
        <x:v>异地,想念,克制</x:v>
      </x:c>
      <x:c r="G36" s="93" t="str">
        <x:v>是</x:v>
      </x:c>
    </x:row>
    <x:row r="37" ht="42" customHeight="1">
      <x:c r="A37" s="81" t="str">
        <x:v>夕阳醉了</x:v>
      </x:c>
      <x:c r="B37" s="48" t="str">
        <x:v>张学友</x:v>
      </x:c>
      <x:c r="C37" s="48" t="str">
        <x:v>适合黄昏时把心事放慢，不再急着回答所有问题。</x:v>
      </x:c>
      <x:c r="D37" s="48" t="str">
        <x:v>黄昏 / 情绪降速</x:v>
      </x:c>
      <x:c r="E37" s="87" t="str">
        <x:v>粤语</x:v>
      </x:c>
      <x:c r="F37" s="48" t="str">
        <x:v>黄昏,放慢,温柔</x:v>
      </x:c>
      <x:c r="G37" s="93" t="str">
        <x:v>是</x:v>
      </x:c>
    </x:row>
    <x:row r="38" ht="42" customHeight="1">
      <x:c r="A38" s="81" t="str">
        <x:v>吻别</x:v>
      </x:c>
      <x:c r="B38" s="48" t="str">
        <x:v>张学友</x:v>
      </x:c>
      <x:c r="C38" s="48" t="str">
        <x:v>适合承认有些告别很痛，但你仍会往前走。</x:v>
      </x:c>
      <x:c r="D38" s="48" t="str">
        <x:v>告别 / 失恋</x:v>
      </x:c>
      <x:c r="E38" s="87" t="str">
        <x:v>中文</x:v>
      </x:c>
      <x:c r="F38" s="48" t="str">
        <x:v>告别,失恋,经典</x:v>
      </x:c>
      <x:c r="G38" s="93" t="str">
        <x:v>是</x:v>
      </x:c>
    </x:row>
    <x:row r="39" ht="42" customHeight="1">
      <x:c r="A39" s="81" t="str">
        <x:v>慢慢</x:v>
      </x:c>
      <x:c r="B39" s="48" t="str">
        <x:v>张学友</x:v>
      </x:c>
      <x:c r="C39" s="48" t="str">
        <x:v>有些关系的答案，本来就只能慢慢出现。</x:v>
      </x:c>
      <x:c r="D39" s="48" t="str">
        <x:v>关系等待</x:v>
      </x:c>
      <x:c r="E39" s="87" t="str">
        <x:v>中文</x:v>
      </x:c>
      <x:c r="F39" s="48" t="str">
        <x:v>慢慢,关系,等待</x:v>
      </x:c>
      <x:c r="G39" s="93" t="str">
        <x:v>是</x:v>
      </x:c>
    </x:row>
    <x:row r="40" ht="42" customHeight="1">
      <x:c r="A40" s="81" t="str">
        <x:v>浮夸</x:v>
      </x:c>
      <x:c r="B40" s="48" t="str">
        <x:v>陈奕迅</x:v>
      </x:c>
      <x:c r="C40" s="48" t="str">
        <x:v>当你总想被看见，可以先听见那个用力的自己。</x:v>
      </x:c>
      <x:c r="D40" s="48" t="str">
        <x:v>表达焦虑 / 被看见</x:v>
      </x:c>
      <x:c r="E40" s="87" t="str">
        <x:v>粤语</x:v>
      </x:c>
      <x:c r="F40" s="48" t="str">
        <x:v>表达,孤独,强烈</x:v>
      </x:c>
      <x:c r="G40" s="93" t="str">
        <x:v>是</x:v>
      </x:c>
    </x:row>
    <x:row r="41" ht="42" customHeight="1">
      <x:c r="A41" s="81" t="str">
        <x:v>单车</x:v>
      </x:c>
      <x:c r="B41" s="48" t="str">
        <x:v>陈奕迅</x:v>
      </x:c>
      <x:c r="C41" s="48" t="str">
        <x:v>适合想起沉默的爱，也想起自己曾被托住。</x:v>
      </x:c>
      <x:c r="D41" s="48" t="str">
        <x:v>亲情 / 怀旧</x:v>
      </x:c>
      <x:c r="E41" s="87" t="str">
        <x:v>粤语</x:v>
      </x:c>
      <x:c r="F41" s="48" t="str">
        <x:v>亲情,怀旧,安静</x:v>
      </x:c>
      <x:c r="G41" s="93" t="str">
        <x:v>是</x:v>
      </x:c>
    </x:row>
    <x:row r="42" ht="42" customHeight="1">
      <x:c r="A42" s="81" t="str">
        <x:v>富士山下</x:v>
      </x:c>
      <x:c r="B42" s="48" t="str">
        <x:v>陈奕迅</x:v>
      </x:c>
      <x:c r="C42" s="48" t="str">
        <x:v>有些放下不是忘记，而是不再把自己困在原地。</x:v>
      </x:c>
      <x:c r="D42" s="48" t="str">
        <x:v>放下 / 失恋</x:v>
      </x:c>
      <x:c r="E42" s="87" t="str">
        <x:v>粤语</x:v>
      </x:c>
      <x:c r="F42" s="48" t="str">
        <x:v>放下,失恋,成熟</x:v>
      </x:c>
      <x:c r="G42" s="93" t="str">
        <x:v>是</x:v>
      </x:c>
    </x:row>
    <x:row r="43" ht="42" customHeight="1">
      <x:c r="A43" s="81" t="str">
        <x:v>葡萄成熟时</x:v>
      </x:c>
      <x:c r="B43" s="48" t="str">
        <x:v>陈奕迅</x:v>
      </x:c>
      <x:c r="C43" s="48" t="str">
        <x:v>适合提醒自己：有些事真的需要时间。</x:v>
      </x:c>
      <x:c r="D43" s="48" t="str">
        <x:v>等待 / 成长</x:v>
      </x:c>
      <x:c r="E43" s="87" t="str">
        <x:v>粤语</x:v>
      </x:c>
      <x:c r="F43" s="48" t="str">
        <x:v>等待,成长,成熟</x:v>
      </x:c>
      <x:c r="G43" s="93" t="str">
        <x:v>是</x:v>
      </x:c>
    </x:row>
    <x:row r="44" ht="42" customHeight="1">
      <x:c r="A44" s="81" t="str">
        <x:v>陀飞轮</x:v>
      </x:c>
      <x:c r="B44" s="48" t="str">
        <x:v>陈奕迅</x:v>
      </x:c>
      <x:c r="C44" s="48" t="str">
        <x:v>当你被成就和时间追赶，可以问问自己到底在换什么。</x:v>
      </x:c>
      <x:c r="D44" s="48" t="str">
        <x:v>成就焦虑</x:v>
      </x:c>
      <x:c r="E44" s="87" t="str">
        <x:v>粤语</x:v>
      </x:c>
      <x:c r="F44" s="48" t="str">
        <x:v>时间,成就,反思</x:v>
      </x:c>
      <x:c r="G44" s="93" t="str">
        <x:v>是</x:v>
      </x:c>
    </x:row>
    <x:row r="45" ht="42" customHeight="1">
      <x:c r="A45" s="81" t="str">
        <x:v>苦瓜</x:v>
      </x:c>
      <x:c r="B45" s="48" t="str">
        <x:v>陈奕迅</x:v>
      </x:c>
      <x:c r="C45" s="48" t="str">
        <x:v>有些难受会慢慢变成味道，不必急着把它变甜。</x:v>
      </x:c>
      <x:c r="D45" s="48" t="str">
        <x:v>成熟 / 难受</x:v>
      </x:c>
      <x:c r="E45" s="87" t="str">
        <x:v>粤语</x:v>
      </x:c>
      <x:c r="F45" s="48" t="str">
        <x:v>成熟,苦涩,人生</x:v>
      </x:c>
      <x:c r="G45" s="93" t="str">
        <x:v>是</x:v>
      </x:c>
    </x:row>
    <x:row r="46" ht="42" customHeight="1">
      <x:c r="A46" s="81" t="str">
        <x:v>淘汰</x:v>
      </x:c>
      <x:c r="B46" s="48" t="str">
        <x:v>陈奕迅</x:v>
      </x:c>
      <x:c r="C46" s="48" t="str">
        <x:v>适合把被选择的痛放下，不再把结果等同于价值。</x:v>
      </x:c>
      <x:c r="D46" s="48" t="str">
        <x:v>被拒绝 / 失恋</x:v>
      </x:c>
      <x:c r="E46" s="87" t="str">
        <x:v>中文</x:v>
      </x:c>
      <x:c r="F46" s="48" t="str">
        <x:v>拒绝,失恋,自尊</x:v>
      </x:c>
      <x:c r="G46" s="93" t="str">
        <x:v>是</x:v>
      </x:c>
    </x:row>
    <x:row r="47" ht="42" customHeight="1">
      <x:c r="A47" s="81" t="str">
        <x:v>十年</x:v>
      </x:c>
      <x:c r="B47" s="48" t="str">
        <x:v>陈奕迅</x:v>
      </x:c>
      <x:c r="C47" s="48" t="str">
        <x:v>适合回看一段关系，也回看自己走过的路。</x:v>
      </x:c>
      <x:c r="D47" s="48" t="str">
        <x:v>怀旧 / 关系</x:v>
      </x:c>
      <x:c r="E47" s="87" t="str">
        <x:v>中文</x:v>
      </x:c>
      <x:c r="F47" s="48" t="str">
        <x:v>十年,怀旧,关系</x:v>
      </x:c>
      <x:c r="G47" s="93" t="str">
        <x:v>是</x:v>
      </x:c>
    </x:row>
    <x:row r="48" ht="42" customHeight="1">
      <x:c r="A48" s="81" t="str">
        <x:v>好久不见</x:v>
      </x:c>
      <x:c r="B48" s="48" t="str">
        <x:v>陈奕迅</x:v>
      </x:c>
      <x:c r="C48" s="48" t="str">
        <x:v>适合想念一个人，但不再用联系证明什么。</x:v>
      </x:c>
      <x:c r="D48" s="48" t="str">
        <x:v>想念 / 克制</x:v>
      </x:c>
      <x:c r="E48" s="87" t="str">
        <x:v>中文</x:v>
      </x:c>
      <x:c r="F48" s="48" t="str">
        <x:v>想念,克制,城市</x:v>
      </x:c>
      <x:c r="G48" s="93" t="str">
        <x:v>是</x:v>
      </x:c>
    </x:row>
    <x:row r="49" ht="42" customHeight="1">
      <x:c r="A49" s="81" t="str">
        <x:v>红玫瑰</x:v>
      </x:c>
      <x:c r="B49" s="48" t="str">
        <x:v>陈奕迅</x:v>
      </x:c>
      <x:c r="C49" s="48" t="str">
        <x:v>有些执念像颜色一样浓，听完可以淡一点。</x:v>
      </x:c>
      <x:c r="D49" s="48" t="str">
        <x:v>执念 / 感情</x:v>
      </x:c>
      <x:c r="E49" s="87" t="str">
        <x:v>中文</x:v>
      </x:c>
      <x:c r="F49" s="48" t="str">
        <x:v>执念,感情,成熟</x:v>
      </x:c>
      <x:c r="G49" s="93" t="str">
        <x:v>是</x:v>
      </x:c>
    </x:row>
    <x:row r="50" ht="42" customHeight="1">
      <x:c r="A50" s="81" t="str">
        <x:v>你的背包</x:v>
      </x:c>
      <x:c r="B50" s="48" t="str">
        <x:v>陈奕迅</x:v>
      </x:c>
      <x:c r="C50" s="48" t="str">
        <x:v>适合那些还带着旧关系痕迹的人，慢慢放轻一点。</x:v>
      </x:c>
      <x:c r="D50" s="48" t="str">
        <x:v>旧物 / 回忆</x:v>
      </x:c>
      <x:c r="E50" s="87" t="str">
        <x:v>中文</x:v>
      </x:c>
      <x:c r="F50" s="48" t="str">
        <x:v>回忆,旧物,关系</x:v>
      </x:c>
      <x:c r="G50" s="93" t="str">
        <x:v>是</x:v>
      </x:c>
    </x:row>
    <x:row r="51" ht="42" customHeight="1">
      <x:c r="A51" s="81" t="str">
        <x:v>给自己的歌</x:v>
      </x:c>
      <x:c r="B51" s="48" t="str">
        <x:v>李宗盛</x:v>
      </x:c>
      <x:c r="C51" s="48" t="str">
        <x:v>适合在被比较打乱后，重新和自己说话。</x:v>
      </x:c>
      <x:c r="D51" s="48" t="str">
        <x:v>中年感 / 自我对话</x:v>
      </x:c>
      <x:c r="E51" s="87" t="str">
        <x:v>中文</x:v>
      </x:c>
      <x:c r="F51" s="48" t="str">
        <x:v>自我,成熟,反思</x:v>
      </x:c>
      <x:c r="G51" s="93" t="str">
        <x:v>是</x:v>
      </x:c>
    </x:row>
    <x:row r="52" ht="42" customHeight="1">
      <x:c r="A52" s="81" t="str">
        <x:v>山丘</x:v>
      </x:c>
      <x:c r="B52" s="48" t="str">
        <x:v>李宗盛</x:v>
      </x:c>
      <x:c r="C52" s="48" t="str">
        <x:v>有些路走到后来，才知道自己曾经翻过很多山。</x:v>
      </x:c>
      <x:c r="D52" s="48" t="str">
        <x:v>人生复盘</x:v>
      </x:c>
      <x:c r="E52" s="87" t="str">
        <x:v>中文</x:v>
      </x:c>
      <x:c r="F52" s="48" t="str">
        <x:v>人生,复盘,成熟</x:v>
      </x:c>
      <x:c r="G52" s="93" t="str">
        <x:v>是</x:v>
      </x:c>
    </x:row>
    <x:row r="53" ht="42" customHeight="1">
      <x:c r="A53" s="81" t="str">
        <x:v>爱的代价</x:v>
      </x:c>
      <x:c r="B53" s="48" t="str">
        <x:v>张艾嘉</x:v>
      </x:c>
      <x:c r="C53" s="48" t="str">
        <x:v>适合承认成长需要代价，但你没有白白经历。</x:v>
      </x:c>
      <x:c r="D53" s="48" t="str">
        <x:v>成长 / 失落</x:v>
      </x:c>
      <x:c r="E53" s="87" t="str">
        <x:v>中文</x:v>
      </x:c>
      <x:c r="F53" s="48" t="str">
        <x:v>成长,代价,温柔</x:v>
      </x:c>
      <x:c r="G53" s="93" t="str">
        <x:v>是</x:v>
      </x:c>
    </x:row>
    <x:row r="54" ht="42" customHeight="1">
      <x:c r="A54" s="81" t="str">
        <x:v>梦醒时分</x:v>
      </x:c>
      <x:c r="B54" s="48" t="str">
        <x:v>陈淑桦</x:v>
      </x:c>
      <x:c r="C54" s="48" t="str">
        <x:v>适合从一场执念里醒来，不再反复追问。</x:v>
      </x:c>
      <x:c r="D54" s="48" t="str">
        <x:v>执念 / 清醒</x:v>
      </x:c>
      <x:c r="E54" s="87" t="str">
        <x:v>中文</x:v>
      </x:c>
      <x:c r="F54" s="48" t="str">
        <x:v>清醒,感情,经典</x:v>
      </x:c>
      <x:c r="G54" s="93" t="str">
        <x:v>是</x:v>
      </x:c>
    </x:row>
    <x:row r="55" ht="42" customHeight="1">
      <x:c r="A55" s="81" t="str">
        <x:v>后来</x:v>
      </x:c>
      <x:c r="B55" s="48" t="str">
        <x:v>刘若英</x:v>
      </x:c>
      <x:c r="C55" s="48" t="str">
        <x:v>有些后悔不能重来，但可以让你更懂自己。</x:v>
      </x:c>
      <x:c r="D55" s="48" t="str">
        <x:v>后悔 / 青春</x:v>
      </x:c>
      <x:c r="E55" s="87" t="str">
        <x:v>中文</x:v>
      </x:c>
      <x:c r="F55" s="48" t="str">
        <x:v>后悔,青春,怀旧</x:v>
      </x:c>
      <x:c r="G55" s="93" t="str">
        <x:v>是</x:v>
      </x:c>
    </x:row>
    <x:row r="56" ht="42" customHeight="1">
      <x:c r="A56" s="81" t="str">
        <x:v>成全</x:v>
      </x:c>
      <x:c r="B56" s="48" t="str">
        <x:v>刘若英</x:v>
      </x:c>
      <x:c r="C56" s="48" t="str">
        <x:v>适合把不甘放低一点，给彼此也给自己留路。</x:v>
      </x:c>
      <x:c r="D56" s="48" t="str">
        <x:v>放手 / 感情</x:v>
      </x:c>
      <x:c r="E56" s="87" t="str">
        <x:v>中文</x:v>
      </x:c>
      <x:c r="F56" s="48" t="str">
        <x:v>放手,成熟,关系</x:v>
      </x:c>
      <x:c r="G56" s="93" t="str">
        <x:v>是</x:v>
      </x:c>
    </x:row>
    <x:row r="57" ht="42" customHeight="1">
      <x:c r="A57" s="81" t="str">
        <x:v>我怀念的</x:v>
      </x:c>
      <x:c r="B57" s="48" t="str">
        <x:v>孙燕姿</x:v>
      </x:c>
      <x:c r="C57" s="48" t="str">
        <x:v>适合怀念某段关系里真实存在过的好。</x:v>
      </x:c>
      <x:c r="D57" s="48" t="str">
        <x:v>怀念 / 分离</x:v>
      </x:c>
      <x:c r="E57" s="87" t="str">
        <x:v>中文</x:v>
      </x:c>
      <x:c r="F57" s="48" t="str">
        <x:v>怀念,关系,失落</x:v>
      </x:c>
      <x:c r="G57" s="93" t="str">
        <x:v>是</x:v>
      </x:c>
    </x:row>
    <x:row r="58" ht="42" customHeight="1">
      <x:c r="A58" s="81" t="str">
        <x:v>遇见</x:v>
      </x:c>
      <x:c r="B58" s="48" t="str">
        <x:v>孙燕姿</x:v>
      </x:c>
      <x:c r="C58" s="48" t="str">
        <x:v>适合在混乱日子里，保留一点对未来的柔软。</x:v>
      </x:c>
      <x:c r="D58" s="48" t="str">
        <x:v>希望 / 未来</x:v>
      </x:c>
      <x:c r="E58" s="87" t="str">
        <x:v>中文</x:v>
      </x:c>
      <x:c r="F58" s="48" t="str">
        <x:v>希望,遇见,温柔</x:v>
      </x:c>
      <x:c r="G58" s="93" t="str">
        <x:v>是</x:v>
      </x:c>
    </x:row>
    <x:row r="59" ht="42" customHeight="1">
      <x:c r="A59" s="81" t="str">
        <x:v>天黑黑</x:v>
      </x:c>
      <x:c r="B59" s="48" t="str">
        <x:v>孙燕姿</x:v>
      </x:c>
      <x:c r="C59" s="48" t="str">
        <x:v>适合在低气压里听见一点被陪伴的感觉。</x:v>
      </x:c>
      <x:c r="D59" s="48" t="str">
        <x:v>低落 / 雨天</x:v>
      </x:c>
      <x:c r="E59" s="87" t="str">
        <x:v>中文</x:v>
      </x:c>
      <x:c r="F59" s="48" t="str">
        <x:v>低落,雨天,陪伴</x:v>
      </x:c>
      <x:c r="G59" s="93" t="str">
        <x:v>是</x:v>
      </x:c>
    </x:row>
    <x:row r="60" ht="42" customHeight="1">
      <x:c r="A60" s="81" t="str">
        <x:v>开始懂了</x:v>
      </x:c>
      <x:c r="B60" s="48" t="str">
        <x:v>孙燕姿</x:v>
      </x:c>
      <x:c r="C60" s="48" t="str">
        <x:v>适合一边难过，一边慢慢承认自己正在长大。</x:v>
      </x:c>
      <x:c r="D60" s="48" t="str">
        <x:v>成长 / 失恋</x:v>
      </x:c>
      <x:c r="E60" s="87" t="str">
        <x:v>中文</x:v>
      </x:c>
      <x:c r="F60" s="48" t="str">
        <x:v>成长,失恋,释怀</x:v>
      </x:c>
      <x:c r="G60" s="93" t="str">
        <x:v>是</x:v>
      </x:c>
    </x:row>
    <x:row r="61" ht="42" customHeight="1">
      <x:c r="A61" s="81" t="str">
        <x:v>逆光</x:v>
      </x:c>
      <x:c r="B61" s="48" t="str">
        <x:v>孙燕姿</x:v>
      </x:c>
      <x:c r="C61" s="48" t="str">
        <x:v>适合在不被看好时，仍然向前走一点。</x:v>
      </x:c>
      <x:c r="D61" s="48" t="str">
        <x:v>低谷 / 坚持</x:v>
      </x:c>
      <x:c r="E61" s="87" t="str">
        <x:v>中文</x:v>
      </x:c>
      <x:c r="F61" s="48" t="str">
        <x:v>坚持,逆光,力量</x:v>
      </x:c>
      <x:c r="G61" s="93" t="str">
        <x:v>是</x:v>
      </x:c>
    </x:row>
    <x:row r="62" ht="42" customHeight="1">
      <x:c r="A62" s="81" t="str">
        <x:v>小幸运</x:v>
      </x:c>
      <x:c r="B62" s="48" t="str">
        <x:v>田馥甄</x:v>
      </x:c>
      <x:c r="C62" s="48" t="str">
        <x:v>适合想起一段关系，也接受它停在过去。</x:v>
      </x:c>
      <x:c r="D62" s="48" t="str">
        <x:v>青春 / 回忆</x:v>
      </x:c>
      <x:c r="E62" s="87" t="str">
        <x:v>中文</x:v>
      </x:c>
      <x:c r="F62" s="48" t="str">
        <x:v>青春,回忆,温柔</x:v>
      </x:c>
      <x:c r="G62" s="93" t="str">
        <x:v>是</x:v>
      </x:c>
    </x:row>
    <x:row r="63" ht="42" customHeight="1">
      <x:c r="A63" s="81" t="str">
        <x:v>你就不要想起我</x:v>
      </x:c>
      <x:c r="B63" s="48" t="str">
        <x:v>田馥甄</x:v>
      </x:c>
      <x:c r="C63" s="48" t="str">
        <x:v>适合把强撑的体面和真实的难过都放出来。</x:v>
      </x:c>
      <x:c r="D63" s="48" t="str">
        <x:v>失恋 / 压抑</x:v>
      </x:c>
      <x:c r="E63" s="87" t="str">
        <x:v>中文</x:v>
      </x:c>
      <x:c r="F63" s="48" t="str">
        <x:v>失恋,压抑,释放</x:v>
      </x:c>
      <x:c r="G63" s="93" t="str">
        <x:v>是</x:v>
      </x:c>
    </x:row>
    <x:row r="64" ht="42" customHeight="1">
      <x:c r="A64" s="81" t="str">
        <x:v>寂寞寂寞就好</x:v>
      </x:c>
      <x:c r="B64" s="48" t="str">
        <x:v>田馥甄</x:v>
      </x:c>
      <x:c r="C64" s="48" t="str">
        <x:v>孤独不一定要马上被填满，有时只是需要被允许。</x:v>
      </x:c>
      <x:c r="D64" s="48" t="str">
        <x:v>孤独 / 独处</x:v>
      </x:c>
      <x:c r="E64" s="87" t="str">
        <x:v>中文</x:v>
      </x:c>
      <x:c r="F64" s="48" t="str">
        <x:v>孤独,独处,允许</x:v>
      </x:c>
      <x:c r="G64" s="93" t="str">
        <x:v>是</x:v>
      </x:c>
    </x:row>
    <x:row r="65" ht="42" customHeight="1">
      <x:c r="A65" s="81" t="str">
        <x:v>无人知晓</x:v>
      </x:c>
      <x:c r="B65" s="48" t="str">
        <x:v>田馥甄</x:v>
      </x:c>
      <x:c r="C65" s="48" t="str">
        <x:v>适合那些没有被公开看见、但依然真实的心事。</x:v>
      </x:c>
      <x:c r="D65" s="48" t="str">
        <x:v>隐秘情绪</x:v>
      </x:c>
      <x:c r="E65" s="87" t="str">
        <x:v>中文</x:v>
      </x:c>
      <x:c r="F65" s="48" t="str">
        <x:v>心事,安静,隐秘</x:v>
      </x:c>
      <x:c r="G65" s="93" t="str">
        <x:v>是</x:v>
      </x:c>
    </x:row>
    <x:row r="66" ht="42" customHeight="1">
      <x:c r="A66" s="81" t="str">
        <x:v>房间</x:v>
      </x:c>
      <x:c r="B66" s="48" t="str">
        <x:v>刘瑞琦</x:v>
      </x:c>
      <x:c r="C66" s="48" t="str">
        <x:v>适合把自己从外面的比较里带回一个小小空间。</x:v>
      </x:c>
      <x:c r="D66" s="48" t="str">
        <x:v>独处 / 安全感</x:v>
      </x:c>
      <x:c r="E66" s="87" t="str">
        <x:v>中文</x:v>
      </x:c>
      <x:c r="F66" s="48" t="str">
        <x:v>房间,安全感,独处</x:v>
      </x:c>
      <x:c r="G66" s="93" t="str">
        <x:v>是</x:v>
      </x:c>
    </x:row>
    <x:row r="67" ht="42" customHeight="1">
      <x:c r="A67" s="81" t="str">
        <x:v>慢冷</x:v>
      </x:c>
      <x:c r="B67" s="48" t="str">
        <x:v>梁静茹</x:v>
      </x:c>
      <x:c r="C67" s="48" t="str">
        <x:v>适合承认有些热烈会变慢，但慢不等于没有爱过。</x:v>
      </x:c>
      <x:c r="D67" s="48" t="str">
        <x:v>关系降温</x:v>
      </x:c>
      <x:c r="E67" s="87" t="str">
        <x:v>中文</x:v>
      </x:c>
      <x:c r="F67" s="48" t="str">
        <x:v>关系,慢热,失落</x:v>
      </x:c>
      <x:c r="G67" s="93" t="str">
        <x:v>是</x:v>
      </x:c>
    </x:row>
    <x:row r="68" ht="42" customHeight="1">
      <x:c r="A68" s="81" t="str">
        <x:v>可惜不是你</x:v>
      </x:c>
      <x:c r="B68" s="48" t="str">
        <x:v>梁静茹</x:v>
      </x:c>
      <x:c r="C68" s="48" t="str">
        <x:v>适合接住错过的痛，不急着把它解释清楚。</x:v>
      </x:c>
      <x:c r="D68" s="48" t="str">
        <x:v>错过 / 失恋</x:v>
      </x:c>
      <x:c r="E68" s="87" t="str">
        <x:v>中文</x:v>
      </x:c>
      <x:c r="F68" s="48" t="str">
        <x:v>错过,失恋,怀念</x:v>
      </x:c>
      <x:c r="G68" s="93" t="str">
        <x:v>是</x:v>
      </x:c>
    </x:row>
    <x:row r="69" ht="42" customHeight="1">
      <x:c r="A69" s="81" t="str">
        <x:v>勇气</x:v>
      </x:c>
      <x:c r="B69" s="48" t="str">
        <x:v>梁静茹</x:v>
      </x:c>
      <x:c r="C69" s="48" t="str">
        <x:v>适合在不确定的关系里，给自己一点表达的力量。</x:v>
      </x:c>
      <x:c r="D69" s="48" t="str">
        <x:v>表达 / 关系</x:v>
      </x:c>
      <x:c r="E69" s="87" t="str">
        <x:v>中文</x:v>
      </x:c>
      <x:c r="F69" s="48" t="str">
        <x:v>勇气,关系,表达</x:v>
      </x:c>
      <x:c r="G69" s="93" t="str">
        <x:v>是</x:v>
      </x:c>
    </x:row>
    <x:row r="70" ht="42" customHeight="1">
      <x:c r="A70" s="81" t="str">
        <x:v>会呼吸的痛</x:v>
      </x:c>
      <x:c r="B70" s="48" t="str">
        <x:v>梁静茹</x:v>
      </x:c>
      <x:c r="C70" s="48" t="str">
        <x:v>有些痛不会马上消失，但你可以慢慢和它共处。</x:v>
      </x:c>
      <x:c r="D70" s="48" t="str">
        <x:v>持续难过</x:v>
      </x:c>
      <x:c r="E70" s="87" t="str">
        <x:v>中文</x:v>
      </x:c>
      <x:c r="F70" s="48" t="str">
        <x:v>痛感,共处,失恋</x:v>
      </x:c>
      <x:c r="G70" s="93" t="str">
        <x:v>是</x:v>
      </x:c>
    </x:row>
    <x:row r="71" ht="42" customHeight="1">
      <x:c r="A71" s="81" t="str">
        <x:v>盛夏光年</x:v>
      </x:c>
      <x:c r="B71" s="48" t="str">
        <x:v>五月天</x:v>
      </x:c>
      <x:c r="C71" s="48" t="str">
        <x:v>适合想挣脱比较和评价，重新听见自己的冲动。</x:v>
      </x:c>
      <x:c r="D71" s="48" t="str">
        <x:v>自我表达</x:v>
      </x:c>
      <x:c r="E71" s="87" t="str">
        <x:v>中文</x:v>
      </x:c>
      <x:c r="F71" s="48" t="str">
        <x:v>自由,青春,力量</x:v>
      </x:c>
      <x:c r="G71" s="93" t="str">
        <x:v>是</x:v>
      </x:c>
    </x:row>
    <x:row r="72" ht="42" customHeight="1">
      <x:c r="A72" s="81" t="str">
        <x:v>突然好想你</x:v>
      </x:c>
      <x:c r="B72" s="48" t="str">
        <x:v>五月天</x:v>
      </x:c>
      <x:c r="C72" s="48" t="str">
        <x:v>想念突然出现时，不一定非要立刻做什么。</x:v>
      </x:c>
      <x:c r="D72" s="48" t="str">
        <x:v>突然想念</x:v>
      </x:c>
      <x:c r="E72" s="87" t="str">
        <x:v>中文</x:v>
      </x:c>
      <x:c r="F72" s="48" t="str">
        <x:v>想念,夜晚,克制</x:v>
      </x:c>
      <x:c r="G72" s="93" t="str">
        <x:v>是</x:v>
      </x:c>
    </x:row>
    <x:row r="73" ht="42" customHeight="1">
      <x:c r="A73" s="81" t="str">
        <x:v>倔强</x:v>
      </x:c>
      <x:c r="B73" s="48" t="str">
        <x:v>五月天</x:v>
      </x:c>
      <x:c r="C73" s="48" t="str">
        <x:v>适合在挫败后提醒自己，还可以用自己的方式站起来。</x:v>
      </x:c>
      <x:c r="D73" s="48" t="str">
        <x:v>挫败 / 坚持</x:v>
      </x:c>
      <x:c r="E73" s="87" t="str">
        <x:v>中文</x:v>
      </x:c>
      <x:c r="F73" s="48" t="str">
        <x:v>坚持,热血,自我</x:v>
      </x:c>
      <x:c r="G73" s="93" t="str">
        <x:v>是</x:v>
      </x:c>
    </x:row>
    <x:row r="74" ht="42" customHeight="1">
      <x:c r="A74" s="81" t="str">
        <x:v>温柔</x:v>
      </x:c>
      <x:c r="B74" s="48" t="str">
        <x:v>五月天</x:v>
      </x:c>
      <x:c r="C74" s="48" t="str">
        <x:v>适合把锋利的情绪放软一点，不再急着争输赢。</x:v>
      </x:c>
      <x:c r="D74" s="48" t="str">
        <x:v>关系 / 情绪软化</x:v>
      </x:c>
      <x:c r="E74" s="87" t="str">
        <x:v>中文</x:v>
      </x:c>
      <x:c r="F74" s="48" t="str">
        <x:v>温柔,关系,释怀</x:v>
      </x:c>
      <x:c r="G74" s="93" t="str">
        <x:v>是</x:v>
      </x:c>
    </x:row>
    <x:row r="75" ht="42" customHeight="1">
      <x:c r="A75" s="81" t="str">
        <x:v>知足</x:v>
      </x:c>
      <x:c r="B75" s="48" t="str">
        <x:v>五月天</x:v>
      </x:c>
      <x:c r="C75" s="48" t="str">
        <x:v>不是所有拥有都要晒出来，真实感受也值得珍惜。</x:v>
      </x:c>
      <x:c r="D75" s="48" t="str">
        <x:v>反比较 / 感恩</x:v>
      </x:c>
      <x:c r="E75" s="87" t="str">
        <x:v>中文</x:v>
      </x:c>
      <x:c r="F75" s="48" t="str">
        <x:v>知足,感恩,温柔</x:v>
      </x:c>
      <x:c r="G75" s="93" t="str">
        <x:v>是</x:v>
      </x:c>
    </x:row>
    <x:row r="76" ht="42" customHeight="1">
      <x:c r="A76" s="81" t="str">
        <x:v>如烟</x:v>
      </x:c>
      <x:c r="B76" s="48" t="str">
        <x:v>五月天</x:v>
      </x:c>
      <x:c r="C76" s="48" t="str">
        <x:v>适合在夜里复盘人生，但不把复盘变成审判。</x:v>
      </x:c>
      <x:c r="D76" s="48" t="str">
        <x:v>人生复盘</x:v>
      </x:c>
      <x:c r="E76" s="87" t="str">
        <x:v>中文</x:v>
      </x:c>
      <x:c r="F76" s="48" t="str">
        <x:v>复盘,人生,夜晚</x:v>
      </x:c>
      <x:c r="G76" s="93" t="str">
        <x:v>是</x:v>
      </x:c>
    </x:row>
    <x:row r="77" ht="42" customHeight="1">
      <x:c r="A77" s="81" t="str">
        <x:v>平凡之路</x:v>
      </x:c>
      <x:c r="B77" s="48" t="str">
        <x:v>朴树</x:v>
      </x:c>
      <x:c r="C77" s="48" t="str">
        <x:v>当你被成功叙事追赶，这首歌提醒你也可以平凡地往前。</x:v>
      </x:c>
      <x:c r="D77" s="48" t="str">
        <x:v>人生进度焦虑</x:v>
      </x:c>
      <x:c r="E77" s="87" t="str">
        <x:v>中文</x:v>
      </x:c>
      <x:c r="F77" s="48" t="str">
        <x:v>平凡,人生,前进</x:v>
      </x:c>
      <x:c r="G77" s="93" t="str">
        <x:v>是</x:v>
      </x:c>
    </x:row>
    <x:row r="78" ht="42" customHeight="1">
      <x:c r="A78" s="81" t="str">
        <x:v>生如夏花</x:v>
      </x:c>
      <x:c r="B78" s="48" t="str">
        <x:v>朴树</x:v>
      </x:c>
      <x:c r="C78" s="48" t="str">
        <x:v>适合提醒自己，存在本身也可以热烈一次。</x:v>
      </x:c>
      <x:c r="D78" s="48" t="str">
        <x:v>存在感 / 低落</x:v>
      </x:c>
      <x:c r="E78" s="87" t="str">
        <x:v>中文</x:v>
      </x:c>
      <x:c r="F78" s="48" t="str">
        <x:v>生命,热烈,存在</x:v>
      </x:c>
      <x:c r="G78" s="93" t="str">
        <x:v>是</x:v>
      </x:c>
    </x:row>
    <x:row r="79" ht="42" customHeight="1">
      <x:c r="A79" s="81" t="str">
        <x:v>那些花儿</x:v>
      </x:c>
      <x:c r="B79" s="48" t="str">
        <x:v>朴树</x:v>
      </x:c>
      <x:c r="C79" s="48" t="str">
        <x:v>适合想起散落的人，也想起仍在走的自己。</x:v>
      </x:c>
      <x:c r="D79" s="48" t="str">
        <x:v>怀旧 / 朋友</x:v>
      </x:c>
      <x:c r="E79" s="87" t="str">
        <x:v>中文</x:v>
      </x:c>
      <x:c r="F79" s="48" t="str">
        <x:v>朋友,怀旧,青春</x:v>
      </x:c>
      <x:c r="G79" s="93" t="str">
        <x:v>是</x:v>
      </x:c>
    </x:row>
    <x:row r="80" ht="42" customHeight="1">
      <x:c r="A80" s="81" t="str">
        <x:v>清白之年</x:v>
      </x:c>
      <x:c r="B80" s="48" t="str">
        <x:v>朴树</x:v>
      </x:c>
      <x:c r="C80" s="48" t="str">
        <x:v>适合回到更干净的自己，不被外界标准完全定义。</x:v>
      </x:c>
      <x:c r="D80" s="48" t="str">
        <x:v>自我回望</x:v>
      </x:c>
      <x:c r="E80" s="87" t="str">
        <x:v>中文</x:v>
      </x:c>
      <x:c r="F80" s="48" t="str">
        <x:v>回望,清白,人生</x:v>
      </x:c>
      <x:c r="G80" s="93" t="str">
        <x:v>是</x:v>
      </x:c>
    </x:row>
    <x:row r="81" ht="42" customHeight="1">
      <x:c r="A81" s="81" t="str">
        <x:v>理想三旬</x:v>
      </x:c>
      <x:c r="B81" s="48" t="str">
        <x:v>陈鸿宇</x:v>
      </x:c>
      <x:c r="C81" s="48" t="str">
        <x:v>适合在理想变得沉默时，听听那个还没走远的自己。</x:v>
      </x:c>
      <x:c r="D81" s="48" t="str">
        <x:v>理想受挫</x:v>
      </x:c>
      <x:c r="E81" s="87" t="str">
        <x:v>中文</x:v>
      </x:c>
      <x:c r="F81" s="48" t="str">
        <x:v>理想,民谣,低落</x:v>
      </x:c>
      <x:c r="G81" s="93" t="str">
        <x:v>是</x:v>
      </x:c>
    </x:row>
    <x:row r="82" ht="42" customHeight="1">
      <x:c r="A82" s="81" t="str">
        <x:v>成都</x:v>
      </x:c>
      <x:c r="B82" s="48" t="str">
        <x:v>赵雷</x:v>
      </x:c>
      <x:c r="C82" s="48" t="str">
        <x:v>适合在城市里慢下来，记得自己不是只为赶路而活。</x:v>
      </x:c>
      <x:c r="D82" s="48" t="str">
        <x:v>城市 / 放慢</x:v>
      </x:c>
      <x:c r="E82" s="87" t="str">
        <x:v>中文</x:v>
      </x:c>
      <x:c r="F82" s="48" t="str">
        <x:v>城市,慢,民谣</x:v>
      </x:c>
      <x:c r="G82" s="93" t="str">
        <x:v>是</x:v>
      </x:c>
    </x:row>
    <x:row r="83" ht="42" customHeight="1">
      <x:c r="A83" s="81" t="str">
        <x:v>南方姑娘</x:v>
      </x:c>
      <x:c r="B83" s="48" t="str">
        <x:v>赵雷</x:v>
      </x:c>
      <x:c r="C83" s="48" t="str">
        <x:v>适合把人和故事放回风里，不再急着拥有答案。</x:v>
      </x:c>
      <x:c r="D83" s="48" t="str">
        <x:v>想念 / 故事感</x:v>
      </x:c>
      <x:c r="E83" s="87" t="str">
        <x:v>中文</x:v>
      </x:c>
      <x:c r="F83" s="48" t="str">
        <x:v>民谣,想念,温柔</x:v>
      </x:c>
      <x:c r="G83" s="93" t="str">
        <x:v>是</x:v>
      </x:c>
    </x:row>
    <x:row r="84" ht="42" customHeight="1">
      <x:c r="A84" s="81" t="str">
        <x:v>莉莉安</x:v>
      </x:c>
      <x:c r="B84" s="48" t="str">
        <x:v>宋冬野</x:v>
      </x:c>
      <x:c r="C84" s="48" t="str">
        <x:v>适合某些说不清的心事，只让它在夜里经过。</x:v>
      </x:c>
      <x:c r="D84" s="48" t="str">
        <x:v>夜晚 / 心事</x:v>
      </x:c>
      <x:c r="E84" s="87" t="str">
        <x:v>中文</x:v>
      </x:c>
      <x:c r="F84" s="48" t="str">
        <x:v>夜晚,民谣,心事</x:v>
      </x:c>
      <x:c r="G84" s="93" t="str">
        <x:v>是</x:v>
      </x:c>
    </x:row>
    <x:row r="85" ht="42" customHeight="1">
      <x:c r="A85" s="81" t="str">
        <x:v>安和桥</x:v>
      </x:c>
      <x:c r="B85" s="48" t="str">
        <x:v>宋冬野</x:v>
      </x:c>
      <x:c r="C85" s="48" t="str">
        <x:v>适合想起旧地方和旧人，也允许自己继续生活。</x:v>
      </x:c>
      <x:c r="D85" s="48" t="str">
        <x:v>旧地 / 怀旧</x:v>
      </x:c>
      <x:c r="E85" s="87" t="str">
        <x:v>中文</x:v>
      </x:c>
      <x:c r="F85" s="48" t="str">
        <x:v>民谣,怀旧,人生</x:v>
      </x:c>
      <x:c r="G85" s="93" t="str">
        <x:v>是</x:v>
      </x:c>
    </x:row>
    <x:row r="86" ht="42" customHeight="1">
      <x:c r="A86" s="81" t="str">
        <x:v>斑马，斑马</x:v>
      </x:c>
      <x:c r="B86" s="48" t="str">
        <x:v>宋冬野</x:v>
      </x:c>
      <x:c r="C86" s="48" t="str">
        <x:v>适合把流浪感和孤独感都暂时交给旋律。</x:v>
      </x:c>
      <x:c r="D86" s="48" t="str">
        <x:v>孤独 / 漂泊</x:v>
      </x:c>
      <x:c r="E86" s="87" t="str">
        <x:v>中文</x:v>
      </x:c>
      <x:c r="F86" s="48" t="str">
        <x:v>民谣,孤独,漂泊</x:v>
      </x:c>
      <x:c r="G86" s="93" t="str">
        <x:v>是</x:v>
      </x:c>
    </x:row>
    <x:row r="87" ht="42" customHeight="1">
      <x:c r="A87" s="81" t="str">
        <x:v>玫瑰</x:v>
      </x:c>
      <x:c r="B87" s="48" t="str">
        <x:v>贰佰</x:v>
      </x:c>
      <x:c r="C87" s="48" t="str">
        <x:v>适合在粗粝的日子里，保留一点温柔。</x:v>
      </x:c>
      <x:c r="D87" s="48" t="str">
        <x:v>低落 / 温柔</x:v>
      </x:c>
      <x:c r="E87" s="87" t="str">
        <x:v>中文</x:v>
      </x:c>
      <x:c r="F87" s="48" t="str">
        <x:v>民谣,温柔,粗粝</x:v>
      </x:c>
      <x:c r="G87" s="93" t="str">
        <x:v>是</x:v>
      </x:c>
    </x:row>
    <x:row r="88" ht="42" customHeight="1">
      <x:c r="A88" s="81" t="str">
        <x:v>送别</x:v>
      </x:c>
      <x:c r="B88" s="48" t="str">
        <x:v>李叔同</x:v>
      </x:c>
      <x:c r="C88" s="48" t="str">
        <x:v>适合真正需要告别的时候，安静地把一段路送完。</x:v>
      </x:c>
      <x:c r="D88" s="48" t="str">
        <x:v>告别 / 离开</x:v>
      </x:c>
      <x:c r="E88" s="87" t="str">
        <x:v>中文</x:v>
      </x:c>
      <x:c r="F88" s="48" t="str">
        <x:v>告别,安静,经典</x:v>
      </x:c>
      <x:c r="G88" s="93" t="str">
        <x:v>是</x:v>
      </x:c>
    </x:row>
    <x:row r="89" ht="42" customHeight="1">
      <x:c r="A89" s="81" t="str">
        <x:v>不用去猜</x:v>
      </x:c>
      <x:c r="B89" s="48" t="str">
        <x:v>Jony J</x:v>
      </x:c>
      <x:c r="C89" s="48" t="str">
        <x:v>适合把别人的目光放轻一点，别总替他们审判自己。</x:v>
      </x:c>
      <x:c r="D89" s="48" t="str">
        <x:v>评价焦虑</x:v>
      </x:c>
      <x:c r="E89" s="87" t="str">
        <x:v>中文说唱</x:v>
      </x:c>
      <x:c r="F89" s="48" t="str">
        <x:v>说唱,自我,评价</x:v>
      </x:c>
      <x:c r="G89" s="93" t="str">
        <x:v>是</x:v>
      </x:c>
    </x:row>
    <x:row r="90" ht="42" customHeight="1">
      <x:c r="A90" s="81" t="str">
        <x:v>My City</x:v>
      </x:c>
      <x:c r="B90" s="48" t="str">
        <x:v>GALI</x:v>
      </x:c>
      <x:c r="C90" s="48" t="str">
        <x:v>适合走在城市里，重新找回一点自己的节奏。</x:v>
      </x:c>
      <x:c r="D90" s="48" t="str">
        <x:v>城市 / 自我节奏</x:v>
      </x:c>
      <x:c r="E90" s="87" t="str">
        <x:v>中文说唱</x:v>
      </x:c>
      <x:c r="F90" s="48" t="str">
        <x:v>城市,节奏,自我</x:v>
      </x:c>
      <x:c r="G90" s="93" t="str">
        <x:v>是</x:v>
      </x:c>
    </x:row>
    <x:row r="91" ht="42" customHeight="1">
      <x:c r="A91" s="81" t="str">
        <x:v>苦行僧</x:v>
      </x:c>
      <x:c r="B91" s="48" t="str">
        <x:v>GAI周延</x:v>
      </x:c>
      <x:c r="C91" s="48" t="str">
        <x:v>适合在不被理解时，保留一点硬气和方向感。</x:v>
      </x:c>
      <x:c r="D91" s="48" t="str">
        <x:v>不被理解</x:v>
      </x:c>
      <x:c r="E91" s="87" t="str">
        <x:v>中文说唱</x:v>
      </x:c>
      <x:c r="F91" s="48" t="str">
        <x:v>说唱,力量,方向</x:v>
      </x:c>
      <x:c r="G91" s="93" t="str">
        <x:v>是</x:v>
      </x:c>
    </x:row>
    <x:row r="92" ht="42" customHeight="1">
      <x:c r="A92" s="81" t="str">
        <x:v>差不多先生</x:v>
      </x:c>
      <x:c r="B92" s="48" t="str">
        <x:v>MC HotDog</x:v>
      </x:c>
      <x:c r="C92" s="48" t="str">
        <x:v>适合用一点讽刺感看清麻木，而不是继续被麻木拖走。</x:v>
      </x:c>
      <x:c r="D92" s="48" t="str">
        <x:v>麻木 / 清醒</x:v>
      </x:c>
      <x:c r="E92" s="87" t="str">
        <x:v>中文说唱</x:v>
      </x:c>
      <x:c r="F92" s="48" t="str">
        <x:v>讽刺,清醒,说唱</x:v>
      </x:c>
      <x:c r="G92" s="93" t="str">
        <x:v>是</x:v>
      </x:c>
    </x:row>
    <x:row r="93" ht="42" customHeight="1">
      <x:c r="A93" s="81" t="str">
        <x:v>凄美地</x:v>
      </x:c>
      <x:c r="B93" s="48" t="str">
        <x:v>郭顶</x:v>
      </x:c>
      <x:c r="C93" s="48" t="str">
        <x:v>适合在情绪很浓的时候，给自己一个漂亮的出口。</x:v>
      </x:c>
      <x:c r="D93" s="48" t="str">
        <x:v>浓烈情绪</x:v>
      </x:c>
      <x:c r="E93" s="87" t="str">
        <x:v>中文</x:v>
      </x:c>
      <x:c r="F93" s="48" t="str">
        <x:v>浓烈,美感,独处</x:v>
      </x:c>
      <x:c r="G93" s="93" t="str">
        <x:v>是</x:v>
      </x:c>
    </x:row>
    <x:row r="94" ht="42" customHeight="1">
      <x:c r="A94" s="81" t="str">
        <x:v>水星记</x:v>
      </x:c>
      <x:c r="B94" s="48" t="str">
        <x:v>郭顶</x:v>
      </x:c>
      <x:c r="C94" s="48" t="str">
        <x:v>适合那些靠近不了、却一直绕着转的人和事。</x:v>
      </x:c>
      <x:c r="D94" s="48" t="str">
        <x:v>暗恋 / 距离</x:v>
      </x:c>
      <x:c r="E94" s="87" t="str">
        <x:v>中文</x:v>
      </x:c>
      <x:c r="F94" s="48" t="str">
        <x:v>距离,暗恋,温柔</x:v>
      </x:c>
      <x:c r="G94" s="93" t="str">
        <x:v>是</x:v>
      </x:c>
    </x:row>
    <x:row r="95" ht="42" customHeight="1">
      <x:c r="A95" s="81" t="str">
        <x:v>喜剧之王</x:v>
      </x:c>
      <x:c r="B95" s="48" t="str">
        <x:v>李荣浩</x:v>
      </x:c>
      <x:c r="C95" s="48" t="str">
        <x:v>适合承认自己也会狼狈，不必一直演得体面。</x:v>
      </x:c>
      <x:c r="D95" s="48" t="str">
        <x:v>自嘲 / 失落</x:v>
      </x:c>
      <x:c r="E95" s="87" t="str">
        <x:v>中文</x:v>
      </x:c>
      <x:c r="F95" s="48" t="str">
        <x:v>自嘲,狼狈,关系</x:v>
      </x:c>
      <x:c r="G95" s="93" t="str">
        <x:v>是</x:v>
      </x:c>
    </x:row>
    <x:row r="96" ht="42" customHeight="1">
      <x:c r="A96" s="81" t="str">
        <x:v>老街</x:v>
      </x:c>
      <x:c r="B96" s="48" t="str">
        <x:v>李荣浩</x:v>
      </x:c>
      <x:c r="C96" s="48" t="str">
        <x:v>适合在回忆里短暂停留，然后继续往前走。</x:v>
      </x:c>
      <x:c r="D96" s="48" t="str">
        <x:v>旧地 / 回忆</x:v>
      </x:c>
      <x:c r="E96" s="87" t="str">
        <x:v>中文</x:v>
      </x:c>
      <x:c r="F96" s="48" t="str">
        <x:v>回忆,旧街,怀旧</x:v>
      </x:c>
      <x:c r="G96" s="93" t="str">
        <x:v>是</x:v>
      </x:c>
    </x:row>
    <x:row r="97" ht="42" customHeight="1">
      <x:c r="A97" s="81" t="str">
        <x:v>年少有为</x:v>
      </x:c>
      <x:c r="B97" s="48" t="str">
        <x:v>李荣浩</x:v>
      </x:c>
      <x:c r="C97" s="48" t="str">
        <x:v>适合面对错过和不甘，但不把人生定格在那里。</x:v>
      </x:c>
      <x:c r="D97" s="48" t="str">
        <x:v>遗憾 / 关系</x:v>
      </x:c>
      <x:c r="E97" s="87" t="str">
        <x:v>中文</x:v>
      </x:c>
      <x:c r="F97" s="48" t="str">
        <x:v>遗憾,成长,不甘</x:v>
      </x:c>
      <x:c r="G97" s="93" t="str">
        <x:v>是</x:v>
      </x:c>
    </x:row>
    <x:row r="98" ht="42" customHeight="1">
      <x:c r="A98" s="81" t="str">
        <x:v>模特</x:v>
      </x:c>
      <x:c r="B98" s="48" t="str">
        <x:v>李荣浩</x:v>
      </x:c>
      <x:c r="C98" s="48" t="str">
        <x:v>适合在外界目光里，重新辨认真实的自己。</x:v>
      </x:c>
      <x:c r="D98" s="48" t="str">
        <x:v>被观看 / 自我</x:v>
      </x:c>
      <x:c r="E98" s="87" t="str">
        <x:v>中文</x:v>
      </x:c>
      <x:c r="F98" s="48" t="str">
        <x:v>自我,观看,关系</x:v>
      </x:c>
      <x:c r="G98" s="93" t="str">
        <x:v>是</x:v>
      </x:c>
    </x:row>
    <x:row r="99" ht="42" customHeight="1">
      <x:c r="A99" s="81" t="str">
        <x:v>起风了</x:v>
      </x:c>
      <x:c r="B99" s="48" t="str">
        <x:v>买辣椒也用券</x:v>
      </x:c>
      <x:c r="C99" s="48" t="str">
        <x:v>适合在变化里回头看一眼，然后继续往前。</x:v>
      </x:c>
      <x:c r="D99" s="48" t="str">
        <x:v>变化 / 青春</x:v>
      </x:c>
      <x:c r="E99" s="87" t="str">
        <x:v>中文</x:v>
      </x:c>
      <x:c r="F99" s="48" t="str">
        <x:v>青春,风,成长</x:v>
      </x:c>
      <x:c r="G99" s="93" t="str">
        <x:v>是</x:v>
      </x:c>
    </x:row>
    <x:row r="100" ht="42" customHeight="1">
      <x:c r="A100" s="81" t="str">
        <x:v>像我这样的人</x:v>
      </x:c>
      <x:c r="B100" s="48" t="str">
        <x:v>毛不易</x:v>
      </x:c>
      <x:c r="C100" s="48" t="str">
        <x:v>适合在自我怀疑里听见一点被理解。</x:v>
      </x:c>
      <x:c r="D100" s="48" t="str">
        <x:v>自我怀疑</x:v>
      </x:c>
      <x:c r="E100" s="87" t="str">
        <x:v>中文</x:v>
      </x:c>
      <x:c r="F100" s="48" t="str">
        <x:v>自我,普通,理解</x:v>
      </x:c>
      <x:c r="G100" s="93" t="str">
        <x:v>是</x:v>
      </x:c>
    </x:row>
    <x:row r="101" ht="42" customHeight="1">
      <x:c r="A101" s="81" t="str">
        <x:v>消愁</x:v>
      </x:c>
      <x:c r="B101" s="48" t="str">
        <x:v>毛不易</x:v>
      </x:c>
      <x:c r="C101" s="48" t="str">
        <x:v>适合在疲惫时承认自己需要休息，不必一直硬撑。</x:v>
      </x:c>
      <x:c r="D101" s="48" t="str">
        <x:v>疲惫 / 压力</x:v>
      </x:c>
      <x:c r="E101" s="87" t="str">
        <x:v>中文</x:v>
      </x:c>
      <x:c r="F101" s="48" t="str">
        <x:v>疲惫,酒馆,低落</x:v>
      </x:c>
      <x:c r="G101" s="93" t="str">
        <x:v>是</x:v>
      </x:c>
    </x:row>
    <x:row r="102" ht="42" customHeight="1">
      <x:c r="A102" s="81" t="str">
        <x:v>借</x:v>
      </x:c>
      <x:c r="B102" s="48" t="str">
        <x:v>毛不易</x:v>
      </x:c>
      <x:c r="C102" s="48" t="str">
        <x:v>适合那些想借一点光、借一点勇气的晚上。</x:v>
      </x:c>
      <x:c r="D102" s="48" t="str">
        <x:v>夜晚 / 需要力量</x:v>
      </x:c>
      <x:c r="E102" s="87" t="str">
        <x:v>中文</x:v>
      </x:c>
      <x:c r="F102" s="48" t="str">
        <x:v>夜晚,低落,温柔</x:v>
      </x:c>
      <x:c r="G102" s="93" t="str">
        <x:v>是</x:v>
      </x:c>
    </x:row>
    <x:row r="103" ht="42" customHeight="1">
      <x:c r="A103" s="82" t="str">
        <x:v>无问</x:v>
      </x:c>
      <x:c r="B103" s="51" t="str">
        <x:v>毛不易</x:v>
      </x:c>
      <x:c r="C103" s="51" t="str">
        <x:v>适合把很多答案暂时放下，先继续走。</x:v>
      </x:c>
      <x:c r="D103" s="51" t="str">
        <x:v>迷茫 / 继续</x:v>
      </x:c>
      <x:c r="E103" s="88" t="str">
        <x:v>中文</x:v>
      </x:c>
      <x:c r="F103" s="51" t="str">
        <x:v>迷茫,继续,温柔</x:v>
      </x:c>
      <x:c r="G103" s="94" t="str">
        <x:v>是</x:v>
      </x:c>
    </x:row>
  </x:sheetData>
  <x:mergeCells>
    <x:mergeCell ref="A1:G1"/>
    <x:mergeCell ref="A2:G2"/>
  </x:mergeCells>
  <x:conditionalFormatting sqref="G4:G103">
    <x:cfRule type="expression" dxfId="0" priority="1">
      <x:formula>G4="是"</x:formula>
    </x:cfRule>
  </x:conditionalFormatting>
  <x:dataValidations count="1">
    <x:dataValidation type="list" sqref="G4:G103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a38fba7c5db490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0" hidden="0" customWidth="1"/>
    <x:col min="3" max="3" width="50" hidden="0" customWidth="1"/>
    <x:col min="4" max="4" width="45" hidden="0" customWidth="1"/>
  </x:cols>
  <x:sheetData>
    <x:row r="1" ht="32" customHeight="1">
      <x:c r="A1" s="5" t="str">
        <x:v>好歌推荐｜场景分类说明</x:v>
      </x:c>
      <x:c r="B1" s="5"/>
      <x:c r="C1" s="5"/>
      <x:c r="D1" s="5"/>
    </x:row>
    <x:row r="3">
      <x:c r="A3" s="21" t="str">
        <x:v>场景组</x:v>
      </x:c>
      <x:c r="B3" s="21" t="str">
        <x:v>适用情绪</x:v>
      </x:c>
      <x:c r="C3" s="21" t="str">
        <x:v>推荐使用方式</x:v>
      </x:c>
      <x:c r="D3" s="21" t="str">
        <x:v>示例歌曲</x:v>
      </x:c>
    </x:row>
    <x:row r="4" ht="58" customHeight="1">
      <x:c r="A4" s="151" t="str">
        <x:v>比较焦虑</x:v>
      </x:c>
      <x:c r="B4" s="117" t="str">
        <x:v>同龄比较、学业焦虑、成就焦虑</x:v>
      </x:c>
      <x:c r="C4" s="117" t="str">
        <x:v>推荐温和、有回到自身生活感的歌</x:v>
      </x:c>
      <x:c r="D4" s="118" t="str">
        <x:v>稻香、平凡之路、不为谁而作的歌</x:v>
      </x:c>
    </x:row>
    <x:row r="5" ht="58" customHeight="1">
      <x:c r="A5" s="152" t="str">
        <x:v>关系焦虑</x:v>
      </x:c>
      <x:c r="B5" s="120" t="str">
        <x:v>已读不回、想念、失恋、关系拉扯</x:v>
      </x:c>
      <x:c r="C5" s="120" t="str">
        <x:v>推荐克制、陪伴感强但不过度沉重的歌</x:v>
      </x:c>
      <x:c r="D5" s="121" t="str">
        <x:v>普通朋友、修炼爱情、Ghost</x:v>
      </x:c>
    </x:row>
    <x:row r="6" ht="58" customHeight="1">
      <x:c r="A6" s="152" t="str">
        <x:v>低落疲惫</x:v>
      </x:c>
      <x:c r="B6" s="120" t="str">
        <x:v>疲惫、孤独、夜晚情绪重</x:v>
      </x:c>
      <x:c r="C6" s="120" t="str">
        <x:v>推荐先接住情绪，再慢慢降速</x:v>
      </x:c>
      <x:c r="D6" s="121" t="str">
        <x:v>像我这样的人、Fix You、她说</x:v>
      </x:c>
    </x:row>
    <x:row r="7" ht="58" customHeight="1">
      <x:c r="A7" s="152" t="str">
        <x:v>自我价值</x:v>
      </x:c>
      <x:c r="B7" s="120" t="str">
        <x:v>自我怀疑、被评价、想被看见</x:v>
      </x:c>
      <x:c r="C7" s="120" t="str">
        <x:v>推荐能帮助重新和自己对话的歌</x:v>
      </x:c>
      <x:c r="D7" s="121" t="str">
        <x:v>给自己的歌、浮夸、Love Yourself</x:v>
      </x:c>
    </x:row>
    <x:row r="8" ht="58" customHeight="1">
      <x:c r="A8" s="152" t="str">
        <x:v>现实锚点</x:v>
      </x:c>
      <x:c r="B8" s="120" t="str">
        <x:v>刷屏过载、注意力飘走、需要回到现实</x:v>
      </x:c>
      <x:c r="C8" s="120" t="str">
        <x:v>推荐有生活画面、自然感和空间感的歌</x:v>
      </x:c>
      <x:c r="D8" s="121" t="str">
        <x:v>七里香、房间、成都</x:v>
      </x:c>
    </x:row>
    <x:row r="9" ht="58" customHeight="1">
      <x:c r="A9" s="153" t="str">
        <x:v>轻快恢复</x:v>
      </x:c>
      <x:c r="B9" s="123" t="str">
        <x:v>需要一点提振和行动感</x:v>
      </x:c>
      <x:c r="C9" s="123" t="str">
        <x:v>推荐节奏轻快但不刺激情绪过载的歌</x:v>
      </x:c>
      <x:c r="D9" s="124" t="str">
        <x:v>Let Go、Sunflower、Blinding Lights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46" hidden="0" customWidth="1"/>
  </x:cols>
  <x:sheetData>
    <x:row r="1" ht="32" customHeight="1">
      <x:c r="A1" s="5" t="str">
        <x:v>好歌推荐｜质量检查</x:v>
      </x:c>
      <x:c r="B1" s="5"/>
      <x:c r="C1" s="5"/>
      <x:c r="D1" s="5"/>
    </x:row>
    <x:row r="3">
      <x:c r="A3" s="21" t="str">
        <x:v>检查项目</x:v>
      </x:c>
      <x:c r="B3" s="21" t="str">
        <x:v>结果</x:v>
      </x:c>
      <x:c r="C3" s="21" t="str">
        <x:v>状态</x:v>
      </x:c>
      <x:c r="D3" s="21" t="str">
        <x:v>标准 / 说明</x:v>
      </x:c>
    </x:row>
    <x:row r="4">
      <x:c r="A4" s="151" t="str">
        <x:v>歌曲总数</x:v>
      </x:c>
      <x:c r="B4" s="157" t="n">
        <x:f>COUNTA('导入表'!A4:A103)</x:f>
        <x:v>100</x:v>
      </x:c>
      <x:c r="C4" s="157" t="str">
        <x:f>IF(B4=100,"通过","需检查")</x:f>
        <x:v>通过</x:v>
      </x:c>
      <x:c r="D4" s="118" t="str">
        <x:v>目标：100 首</x:v>
      </x:c>
    </x:row>
    <x:row r="5">
      <x:c r="A5" s="152" t="str">
        <x:v>空歌名数量</x:v>
      </x:c>
      <x:c r="B5" s="158" t="n">
        <x:f>COUNTIF('导入表'!A4:A103,"")</x:f>
        <x:v>0</x:v>
      </x:c>
      <x:c r="C5" s="158" t="str">
        <x:f>IF(B5=0,"通过","需修正")</x:f>
        <x:v>通过</x:v>
      </x:c>
      <x:c r="D5" s="121" t="str">
        <x:v>必须为 0</x:v>
      </x:c>
    </x:row>
    <x:row r="6">
      <x:c r="A6" s="152" t="str">
        <x:v>空歌手数量</x:v>
      </x:c>
      <x:c r="B6" s="158" t="n">
        <x:f>COUNTIF('导入表'!B4:B103,"")</x:f>
        <x:v>0</x:v>
      </x:c>
      <x:c r="C6" s="158" t="str">
        <x:f>IF(B6=0,"通过","需修正")</x:f>
        <x:v>通过</x:v>
      </x:c>
      <x:c r="D6" s="121" t="str">
        <x:v>必须为 0</x:v>
      </x:c>
    </x:row>
    <x:row r="7">
      <x:c r="A7" s="152" t="str">
        <x:v>空推荐语数量</x:v>
      </x:c>
      <x:c r="B7" s="158" t="n">
        <x:f>COUNTIF('导入表'!C4:C103,"")</x:f>
        <x:v>0</x:v>
      </x:c>
      <x:c r="C7" s="158" t="str">
        <x:f>IF(B7=0,"通过","需修正")</x:f>
        <x:v>通过</x:v>
      </x:c>
      <x:c r="D7" s="121" t="str">
        <x:v>必须为 0</x:v>
      </x:c>
    </x:row>
    <x:row r="8">
      <x:c r="A8" s="152" t="str">
        <x:v>启用数量</x:v>
      </x:c>
      <x:c r="B8" s="158" t="n">
        <x:f>COUNTIF('导入表'!G4:G103,"是")</x:f>
        <x:v>100</x:v>
      </x:c>
      <x:c r="C8" s="158" t="str">
        <x:f>IF(B8=100,"通过","需检查")</x:f>
        <x:v>通过</x:v>
      </x:c>
      <x:c r="D8" s="121" t="str">
        <x:v>建议全部启用</x:v>
      </x:c>
    </x:row>
    <x:row r="9">
      <x:c r="A9" s="152" t="str">
        <x:v>重复歌名数量</x:v>
      </x:c>
      <x:c r="B9" s="158" t="n">
        <x:v>0</x:v>
      </x:c>
      <x:c r="C9" s="158" t="str">
        <x:f>IF(B9=0,"通过","需人工确认")</x:f>
        <x:v>通过</x:v>
      </x:c>
      <x:c r="D9" s="121" t="str">
        <x:v>本表按歌名检查，允许不同版本时需人工确认</x:v>
      </x:c>
    </x:row>
    <x:row r="10">
      <x:c r="A10" s="152" t="str">
        <x:v>推荐语最长长度</x:v>
      </x:c>
      <x:c r="B10" s="158" t="n">
        <x:v>25</x:v>
      </x:c>
      <x:c r="C10" s="158" t="str">
        <x:f>IF(B10&lt;=60,"通过","需修正")</x:f>
        <x:v>通过</x:v>
      </x:c>
      <x:c r="D10" s="121" t="str">
        <x:v>建议 ≤60 字</x:v>
      </x:c>
    </x:row>
    <x:row r="11">
      <x:c r="A11" s="153" t="str">
        <x:v>标签最多数量</x:v>
      </x:c>
      <x:c r="B11" s="159" t="n">
        <x:v>3</x:v>
      </x:c>
      <x:c r="C11" s="159" t="str">
        <x:f>IF(B11&lt;=5,"通过","需修正")</x:f>
        <x:v>通过</x:v>
      </x:c>
      <x:c r="D11" s="124" t="str">
        <x:v>建议 ≤5 个</x:v>
      </x:c>
    </x:row>
  </x:sheetData>
  <x:mergeCells>
    <x:mergeCell ref="A1:D1"/>
  </x:mergeCells>
  <x:conditionalFormatting sqref="C4:C11">
    <x:cfRule type="expression" dxfId="1" priority="1">
      <x:formula>C4="通过"</x:formula>
    </x:cfRule>
    <x:cfRule type="expression" dxfId="2" priority="2">
      <x:formula>C4&lt;&gt;"通过"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3" max="3" width="30" hidden="0" customWidth="1"/>
    <x:col min="4" max="4" width="58" hidden="0" customWidth="1"/>
  </x:cols>
  <x:sheetData>
    <x:row r="1" ht="32" customHeight="1">
      <x:c r="A1" s="5" t="str">
        <x:v>导入说明</x:v>
      </x:c>
      <x:c r="B1" s="5"/>
      <x:c r="C1" s="5"/>
      <x:c r="D1" s="5"/>
    </x:row>
    <x:row r="3">
      <x:c r="A3" s="21" t="str">
        <x:v>字段</x:v>
      </x:c>
      <x:c r="B3" s="21" t="str">
        <x:v>含义</x:v>
      </x:c>
      <x:c r="C3" s="21" t="str">
        <x:v>建议数据库字段</x:v>
      </x:c>
      <x:c r="D3" s="21" t="str">
        <x:v>说明</x:v>
      </x:c>
    </x:row>
    <x:row r="4" ht="42" customHeight="1">
      <x:c r="A4" s="151" t="str">
        <x:v>title</x:v>
      </x:c>
      <x:c r="B4" s="117" t="str">
        <x:v>歌曲名</x:v>
      </x:c>
      <x:c r="C4" s="117" t="str">
        <x:v>title</x:v>
      </x:c>
      <x:c r="D4" s="118" t="str">
        <x:v>不含歌词，仅用于推荐显示</x:v>
      </x:c>
    </x:row>
    <x:row r="5" ht="42" customHeight="1">
      <x:c r="A5" s="152" t="str">
        <x:v>artist</x:v>
      </x:c>
      <x:c r="B5" s="120" t="str">
        <x:v>歌手</x:v>
      </x:c>
      <x:c r="C5" s="120" t="str">
        <x:v>artist</x:v>
      </x:c>
      <x:c r="D5" s="121" t="str">
        <x:v>多人合作可用英文逗号或中文顿号</x:v>
      </x:c>
    </x:row>
    <x:row r="6" ht="42" customHeight="1">
      <x:c r="A6" s="152" t="str">
        <x:v>description</x:v>
      </x:c>
      <x:c r="B6" s="120" t="str">
        <x:v>推荐语</x:v>
      </x:c>
      <x:c r="C6" s="120" t="str">
        <x:v>description</x:v>
      </x:c>
      <x:c r="D6" s="121" t="str">
        <x:v>建议首页只展示一行或两行</x:v>
      </x:c>
    </x:row>
    <x:row r="7" ht="42" customHeight="1">
      <x:c r="A7" s="152" t="str">
        <x:v>scene</x:v>
      </x:c>
      <x:c r="B7" s="120" t="str">
        <x:v>适用情绪场景</x:v>
      </x:c>
      <x:c r="C7" s="120" t="str">
        <x:v>scene</x:v>
      </x:c>
      <x:c r="D7" s="121" t="str">
        <x:v>可用于后台筛选或随机推荐条件</x:v>
      </x:c>
    </x:row>
    <x:row r="8" ht="42" customHeight="1">
      <x:c r="A8" s="152" t="str">
        <x:v>language</x:v>
      </x:c>
      <x:c r="B8" s="120" t="str">
        <x:v>语种/类型</x:v>
      </x:c>
      <x:c r="C8" s="120" t="str">
        <x:v>language</x:v>
      </x:c>
      <x:c r="D8" s="121" t="str">
        <x:v>中文、粤语、英文、中文说唱等</x:v>
      </x:c>
    </x:row>
    <x:row r="9" ht="42" customHeight="1">
      <x:c r="A9" s="152" t="str">
        <x:v>mood_tags</x:v>
      </x:c>
      <x:c r="B9" s="120" t="str">
        <x:v>情绪标签</x:v>
      </x:c>
      <x:c r="C9" s="120" t="str">
        <x:v>mood_tags</x:v>
      </x:c>
      <x:c r="D9" s="121" t="str">
        <x:v>英文逗号分隔</x:v>
      </x:c>
    </x:row>
    <x:row r="10" ht="42" customHeight="1">
      <x:c r="A10" s="153" t="str">
        <x:v>is_active</x:v>
      </x:c>
      <x:c r="B10" s="123" t="str">
        <x:v>是否启用</x:v>
      </x:c>
      <x:c r="C10" s="123" t="str">
        <x:v>is_active</x:v>
      </x:c>
      <x:c r="D10" s="124" t="str">
        <x:v>是/否；禁用后不进入随机展示</x:v>
      </x:c>
    </x:row>
  </x:sheetData>
  <x:mergeCells>
    <x:mergeCell ref="A1:D1"/>
  </x:mergeCells>
  <x:pageMargins left="0.7" right="0.7" top="0.75" bottom="0.75" header="0.3" footer="0.3"/>
</x:worksheet>
</file>