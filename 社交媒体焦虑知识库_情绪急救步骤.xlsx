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bd87ce9454c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表" sheetId="1" r:id="R0d32180d26eb4110"/>
    <x:sheet xmlns:r="http://schemas.openxmlformats.org/officeDocument/2006/relationships" name="急救地图" sheetId="2" r:id="R9dee9223a784484b"/>
    <x:sheet xmlns:r="http://schemas.openxmlformats.org/officeDocument/2006/relationships" name="来源索引" sheetId="3" r:id="R0868ddbf5bd941c9"/>
    <x:sheet xmlns:r="http://schemas.openxmlformats.org/officeDocument/2006/relationships" name="使用边界" sheetId="4" r:id="R29ca8a40199a42f7"/>
    <x:sheet xmlns:r="http://schemas.openxmlformats.org/officeDocument/2006/relationships" name="质量检查" sheetId="5" r:id="R4dc5d8c424fa44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7A3D52"/>
      <x:name val="Carlito"/>
    </x:font>
    <x:font>
      <x:b/>
      <x:sz val="11"/>
      <x:color rgb="FFFFFFFF"/>
      <x:name val="Carlito"/>
    </x:font>
    <x:font>
      <x:sz val="10"/>
      <x:color rgb="FF3A1F29"/>
      <x:name val="Carlito"/>
    </x:font>
    <x:font>
      <x:b/>
      <x:sz val="10"/>
      <x:color rgb="FF7A3D52"/>
      <x:name val="Carlito"/>
    </x:font>
    <x:font>
      <x:b/>
      <x:sz val="11"/>
      <x:color rgb="FF7A3D5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A3D52"/>
      </x:patternFill>
    </x:fill>
    <x:fill>
      <x:patternFill patternType="solid">
        <x:fgColor rgb="FFF6E3EA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16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  <x:xf numFmtId="0" fontId="4" fillId="0" borderId="12" xfId="0" applyNumberFormat="1" applyFont="1" applyFill="1" applyBorder="1" applyAlignment="1">
      <x:alignment horizontal="center" vertical="top" wrapText="1"/>
    </x:xf>
    <x:xf numFmtId="0" fontId="4" fillId="0" borderId="14" xfId="0" applyNumberFormat="1" applyFont="1" applyFill="1" applyBorder="1" applyAlignment="1">
      <x:alignment horizontal="center" vertical="top" wrapText="1"/>
    </x:xf>
    <x:xf numFmtId="0" fontId="4" fillId="0" borderId="17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10" xfId="0" applyNumberFormat="1" applyFont="1" applyFill="1" applyBorder="1" applyAlignment="1">
      <x:alignment horizontal="center" vertical="top" wrapText="1"/>
    </x:xf>
    <x:xf numFmtId="0" fontId="4" fillId="0" borderId="13" xfId="0" applyNumberFormat="1" applyFont="1" applyFill="1" applyBorder="1" applyAlignment="1">
      <x:alignment horizontal="center" vertical="top" wrapText="1"/>
    </x:xf>
    <x:xf numFmtId="0" fontId="4" fillId="0" borderId="15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011961ca284148" /><Relationship Type="http://schemas.openxmlformats.org/officeDocument/2006/relationships/theme" Target="/xl/theme/theme1.xml" Id="R1d06fd23a1b24003" /><Relationship Type="http://schemas.openxmlformats.org/officeDocument/2006/relationships/sharedStrings" Target="/xl/sharedStrings.xml" Id="R9fda95b7ee9c419a" /><Relationship Type="http://schemas.openxmlformats.org/officeDocument/2006/relationships/worksheet" Target="/xl/worksheets/sheet1.xml" Id="R0d32180d26eb4110" /><Relationship Type="http://schemas.openxmlformats.org/officeDocument/2006/relationships/worksheet" Target="/xl/worksheets/sheet2.xml" Id="R9dee9223a784484b" /><Relationship Type="http://schemas.openxmlformats.org/officeDocument/2006/relationships/worksheet" Target="/xl/worksheets/sheet3.xml" Id="R0868ddbf5bd941c9" /><Relationship Type="http://schemas.openxmlformats.org/officeDocument/2006/relationships/worksheet" Target="/xl/worksheets/sheet4.xml" Id="R29ca8a40199a42f7" /><Relationship Type="http://schemas.openxmlformats.org/officeDocument/2006/relationships/worksheet" Target="/xl/worksheets/sheet5.xml" Id="R4dc5d8c424fa44ae" /></Relationships>
</file>

<file path=xl/tables/table1.xml><?xml version="1.0" encoding="utf-8"?>
<x:table xmlns:x="http://schemas.openxmlformats.org/spreadsheetml/2006/main" id="1" name="EmotionalFirstAidImportTable" displayName="EmotionalFirstAidImportTable" ref="A3:G18" headerRowCount="1">
  <x:tableColumns count="7">
    <x:tableColumn id="1" name="title"/>
    <x:tableColumn id="2" name="category"/>
    <x:tableColumn id="3" name="body"/>
    <x:tableColumn id="4" name="tags"/>
    <x:tableColumn id="5" name="applicable_scene"/>
    <x:tableColumn id="6" name="source_note"/>
    <x:tableColumn id="7" name="is_home_recommended"/>
  </x:tableColumns>
  <x:tableStyleInfo name="TableStyleMedium2" showRowStripes="1"/>
</x:table>
</file>

<file path=xl/tables/table2.xml><?xml version="1.0" encoding="utf-8"?>
<x:table xmlns:x="http://schemas.openxmlformats.org/spreadsheetml/2006/main" id="2" name="EmotionalFirstAidSourceTable" displayName="EmotionalFirstAidSourceTable" ref="A3:G18" headerRowCount="1">
  <x:tableColumns count="7">
    <x:tableColumn id="1" name="编号"/>
    <x:tableColumn id="2" name="作者 / 年份"/>
    <x:tableColumn id="3" name="完整题名"/>
    <x:tableColumn id="4" name="期刊 / 来源"/>
    <x:tableColumn id="5" name="证据类型"/>
    <x:tableColumn id="6" name="主要支持主题"/>
    <x:tableColumn id="7" name="稳定链接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8cea388b6c47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9dced43dd549fa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78" hidden="0" customWidth="1"/>
    <x:col min="4" max="4" width="29" hidden="0" customWidth="1"/>
    <x:col min="5" max="5" width="45" hidden="0" customWidth="1"/>
    <x:col min="6" max="6" width="55" hidden="0" customWidth="1"/>
    <x:col min="7" max="7" width="18" hidden="0" customWidth="1"/>
  </x:cols>
  <x:sheetData>
    <x:row r="1" ht="32" customHeight="1">
      <x:c r="A1" s="5" t="str">
        <x:v>社交媒体焦虑知识库｜情绪急救步骤</x:v>
      </x:c>
      <x:c r="B1" s="5"/>
      <x:c r="C1" s="5"/>
      <x:c r="D1" s="5"/>
      <x:c r="E1" s="5"/>
      <x:c r="F1" s="5"/>
      <x:c r="G1" s="5"/>
    </x:row>
    <x:row r="2" ht="28" customHeight="1">
      <x:c r="A2" s="13" t="str">
        <x:v>共 15 条；正文为 Markdown；category 固定为“情绪急救步骤”；首页推荐 3 条（20%）。</x:v>
      </x:c>
      <x:c r="B2" s="13"/>
      <x:c r="C2" s="13"/>
      <x:c r="D2" s="13"/>
      <x:c r="E2" s="13"/>
      <x:c r="F2" s="13"/>
      <x:c r="G2" s="13"/>
    </x:row>
    <x:row r="3">
      <x:c r="A3" s="21" t="str">
        <x:v>title</x:v>
      </x:c>
      <x:c r="B3" s="21" t="str">
        <x:v>category</x:v>
      </x:c>
      <x:c r="C3" s="21" t="str">
        <x:v>body</x:v>
      </x:c>
      <x:c r="D3" s="21" t="str">
        <x:v>tags</x:v>
      </x:c>
      <x:c r="E3" s="21" t="str">
        <x:v>applicable_scene</x:v>
      </x:c>
      <x:c r="F3" s="21" t="str">
        <x:v>source_note</x:v>
      </x:c>
      <x:c r="G3" s="21" t="str">
        <x:v>is_home_recommended</x:v>
      </x:c>
    </x:row>
    <x:row r="4" ht="122" customHeight="1">
      <x:c r="A4" s="80" t="str">
        <x:v>先停两分钟：把信息流从眼前移开</x:v>
      </x:c>
      <x:c r="B4" s="86" t="str">
        <x:v>情绪急救步骤</x:v>
      </x:c>
      <x:c r="C4" s="45" t="str">
        <x:v>## 什么时候使用
刚看到一条让你强烈比较、愤怒、恐慌或羞耻的内容，手已经在继续下滑、搜索或点进评论区时。
## 立即步骤
1. 停止继续刷，不急着分析内容对不对。
2. 把手机屏幕扣下、锁屏或放到伸手够不到的位置。
3. 双脚接触地面，慢慢说出当前地点和时间，例如：“我现在在宿舍，晚上十点，这条内容已经结束了。”
4. 环顾周围，找出三个不会移动的物体。
5. 两分钟后再决定是退出、保存稍后看，还是继续处理。
## 为什么这样做
情绪被快速内容勾住时，继续输入往往会增加刺激量，让大脑更难分辨“眼前信息”和“现实环境”。短暂停止并重新定向，不是逃避问题，而是先把选择权拿回来。
## 使用边界
这一步不要求你永久戒掉平台，也不保证情绪立刻消失。若内容涉及现实威胁、隐私泄露或需要及时保存的证据，应先完成必要取证，再离开信息流。</x:v>
      </x:c>
      <x:c r="D4" s="45" t="str">
        <x:v>暂停刷屏,信息中断,环境定向,刺激过载</x:v>
      </x:c>
      <x:c r="E4" s="45" t="str">
        <x:v>被一条内容明显触发后，仍在机械下滑、搜同类内容或反复看评论时。</x:v>
      </x:c>
      <x:c r="F4" s="45" t="str">
        <x:v>参考：WHO，2020《Doing What Matters in Times of Stress》中的着陆与减速练习。</x:v>
      </x:c>
      <x:c r="G4" s="92" t="str">
        <x:v>是</x:v>
      </x:c>
    </x:row>
    <x:row r="5" ht="122" customHeight="1">
      <x:c r="A5" s="81" t="str">
        <x:v>5-4-3-2-1五感着陆法</x:v>
      </x:c>
      <x:c r="B5" s="87" t="str">
        <x:v>情绪急救步骤</x:v>
      </x:c>
      <x:c r="C5" s="48" t="str">
        <x:v>## 什么时候使用
脑中不断重播社交媒体画面、感觉“整个人被吸进去了”、注意力很难回到现实环境时。
## 立即步骤
按顺序寻找并说出：
1. **5样看见的东西**：颜色、形状、位置。
2. **4样身体接触到的感觉**：脚底、衣服、椅背、手心。
3. **3种听见的声音**：近处、远处、持续的声音。
4. **2种闻到的气味**：没有明显气味时，可以注意空气或衣物气味。
5. **1种尝到的味道**：也可以喝一小口水，注意口腔感觉。
每一步只描述感觉，不解释它好不好。
## 为什么这样做
五感着陆把注意从脑内的预测、比较和回放，重新连接到此刻可观察的环境。它的目标是增加“我在这里”的感觉，而不是证明焦虑不合理。
## 使用边界
如果某一种感官会引发不适，可以跳过或改用其他感官。出现明显解离、创伤闪回或无法确认自身安全时，应寻求他人和专业帮助。</x:v>
      </x:c>
      <x:c r="D5" s="48" t="str">
        <x:v>五感着陆,当下定向,注意转移,感官</x:v>
      </x:c>
      <x:c r="E5" s="48" t="str">
        <x:v>焦虑画面在脑中循环、注意力飘离现实，或感觉周围不够真实时。</x:v>
      </x:c>
      <x:c r="F5" s="48" t="str">
        <x:v>参考：WHO压力管理指南；Royal Berkshire NHS，2024，焦虑着陆技巧。</x:v>
      </x:c>
      <x:c r="G5" s="93" t="str">
        <x:v>是</x:v>
      </x:c>
    </x:row>
    <x:row r="6" ht="122" customHeight="1">
      <x:c r="A6" s="81" t="str">
        <x:v>双脚着地与接触点确认</x:v>
      </x:c>
      <x:c r="B6" s="87" t="str">
        <x:v>情绪急救步骤</x:v>
      </x:c>
      <x:c r="C6" s="48" t="str">
        <x:v>## 什么时候使用
刷到刺激内容后心里发飘、身体僵住、手脚发紧，或者很难把注意力从手机移开时。
## 立即步骤
1. 坐稳或站稳，把双脚完整放在地面。
2. 轻轻向下施力5秒，感受脚底受力，再放松。
3. 注意三个接触点，例如脚底与地面、背部与椅背、手掌与大腿。
4. 用一句话描述每个感觉：“脚底有压力”“椅背在支撑我”“手掌是温热的”。
5. 轻轻移动脚趾和手指，让身体确认自己可以主动行动。
## 为什么这样做
强烈焦虑常把注意推向手机内容、未来预测或身体异常感。确认支撑点和主动动作，可以帮助重新建立对当前位置与身体边界的感知。
## 使用边界
不需要用力踩地或让身体疼痛。若有受伤、眩晕或站立不稳，应坐下进行。持续胸痛、晕厥或严重呼吸困难不能仅按焦虑处理，应及时求助医疗服务。</x:v>
      </x:c>
      <x:c r="D6" s="48" t="str">
        <x:v>双脚着地,身体边界,接触点,稳定</x:v>
      </x:c>
      <x:c r="E6" s="48" t="str">
        <x:v>感觉发飘、身体僵硬，或心神完全被屏幕内容拖走时。</x:v>
      </x:c>
      <x:c r="F6" s="48" t="str">
        <x:v>参考：WHO，2020，Grounding；VA关于当下定向与身体感觉的建议。</x:v>
      </x:c>
      <x:c r="G6" s="93" t="str">
        <x:v>否</x:v>
      </x:c>
    </x:row>
    <x:row r="7" ht="122" customHeight="1">
      <x:c r="A7" s="81" t="str">
        <x:v>舒适慢呼吸：不憋气、不强迫深呼吸</x:v>
      </x:c>
      <x:c r="B7" s="87" t="str">
        <x:v>情绪急救步骤</x:v>
      </x:c>
      <x:c r="C7" s="48" t="str">
        <x:v>## 什么时候使用
焦虑上升后呼吸变快、肩膀抬高、胸口紧，越想“深呼吸”越觉得喘不过来时。
## 立即步骤
1. 坐稳，放松肩膀和上胸部。
2. 让气息自然进入，不追求吸得特别满。
3. 用鼻子轻轻吸气，用鼻子或嘴缓慢呼气。
4. 可以舒适地数“吸1、2、3，呼1、2、3”，无法数到3也没有关系。
5. 连续做1—3分钟；若头晕或更不舒服，立即恢复自然呼吸。
## 为什么这样做
焦虑时用力吸气、频繁叹气或过快呼吸可能让头晕和胸闷更明显。练习重点是把呼吸恢复为舒适、规律的节奏，而不是吸入尽可能多的空气。
## 使用边界
不要套用必须憋气的固定节奏，也不要强迫自己坚持。首次出现的严重胸痛、明显呼吸困难、晕厥或疑似医疗急症，应及时就医。</x:v>
      </x:c>
      <x:c r="D7" s="48" t="str">
        <x:v>慢呼吸,胸口紧,不过度换气,舒适节奏</x:v>
      </x:c>
      <x:c r="E7" s="48" t="str">
        <x:v>焦虑后呼吸越来越急，或越刻意深呼吸越头晕、胸闷时。</x:v>
      </x:c>
      <x:c r="F7" s="48" t="str">
        <x:v>参考：NHS呼吸练习；Cambridge University Hospitals，过度换气呼吸指导。</x:v>
      </x:c>
      <x:c r="G7" s="93" t="str">
        <x:v>是</x:v>
      </x:c>
    </x:row>
    <x:row r="8" ht="122" customHeight="1">
      <x:c r="A8" s="81" t="str">
        <x:v>肩膀、下颌与手掌三点放松</x:v>
      </x:c>
      <x:c r="B8" s="87" t="str">
        <x:v>情绪急救步骤</x:v>
      </x:c>
      <x:c r="C8" s="48" t="str">
        <x:v>## 什么时候使用
看完评论争论或比较内容后，发现自己咬紧牙、耸肩、攥拳，身体一直保持“准备应战”的姿势时。
## 立即步骤
1. **肩膀**：吸气时轻轻抬起，呼气时让肩膀自然下落，不要猛压。
2. **下颌**：上下牙齿稍微分开，让舌头自然放松。
3. **手掌**：先轻握拳2—3秒，再慢慢展开手指。
4. 比较紧张和放松时的感觉差异。
5. 重复两轮，然后让呼吸恢复自然。
## 为什么这样做
情绪急升时，身体紧张可能持续向大脑传递“危险仍在”的信号。先处理最常见的三个紧张部位，可以降低身体负荷，为后续判断和行动留出空间。
## 使用边界
动作应轻柔，不要在疼痛、关节受伤或肌肉痉挛处用力。身体放松不能替代对现实骚扰、威胁或医疗问题的处理。</x:v>
      </x:c>
      <x:c r="D8" s="48" t="str">
        <x:v>肌肉放松,肩颈紧张,咬牙,身体警觉</x:v>
      </x:c>
      <x:c r="E8" s="48" t="str">
        <x:v>刷完争议内容后肩颈发硬、咬紧牙关或双手一直攥紧时。</x:v>
      </x:c>
      <x:c r="F8" s="48" t="str">
        <x:v>参考：NHS渐进性肌肉放松资源；VA创伤压力应对建议。</x:v>
      </x:c>
      <x:c r="G8" s="93" t="str">
        <x:v>否</x:v>
      </x:c>
    </x:row>
    <x:row r="9" ht="122" customHeight="1">
      <x:c r="A9" s="81" t="str">
        <x:v>一分钟迷你渐进性肌肉放松</x:v>
      </x:c>
      <x:c r="B9" s="87" t="str">
        <x:v>情绪急救步骤</x:v>
      </x:c>
      <x:c r="C9" s="48" t="str">
        <x:v>## 什么时候使用
焦虑主要表现为全身绷紧、坐立不安，单纯告诉自己“放松”没有效果时。
## 立即步骤
依次选择三个部位，每个部位只做一次：
1. 双手轻握拳3秒，然后放开6秒。
2. 双肩轻轻抬起3秒，然后放下6秒。
3. 双脚轻压地面3秒，然后完全松开6秒。
4. 每次放松时，注意紧张和松弛之间的差别。
5. 最后安静坐10秒，不再继续用力。
## 为什么这样做
渐进性肌肉放松通过主动制造轻微紧张，再体验释放，帮助人识别自己原本没有觉察到的身体用力。迷你版本适合当下稳定，不代替完整训练。
## 使用边界
不要屏住呼吸，也不要用最大力量。疼痛、肌肉损伤、抽筋风险或医生要求避免用力的部位应跳过。若练习让身体感觉更不舒服，可改用被动放松。</x:v>
      </x:c>
      <x:c r="D9" s="48" t="str">
        <x:v>渐进放松,身体紧张,一分钟,焦虑</x:v>
      </x:c>
      <x:c r="E9" s="48" t="str">
        <x:v>全身绷紧、坐立不安，又很难直接让肌肉松下来时。</x:v>
      </x:c>
      <x:c r="F9" s="48" t="str">
        <x:v>参考：Royal Brompton NHS放松资源；Birmingham and Solihull NHS渐进性肌肉放松指南。</x:v>
      </x:c>
      <x:c r="G9" s="93" t="str">
        <x:v>否</x:v>
      </x:c>
    </x:row>
    <x:row r="10" ht="122" customHeight="1">
      <x:c r="A10" s="81" t="str">
        <x:v>给情绪一个准确名字</x:v>
      </x:c>
      <x:c r="B10" s="87" t="str">
        <x:v>情绪急救步骤</x:v>
      </x:c>
      <x:c r="C10" s="48" t="str">
        <x:v>## 什么时候使用
只觉得“很难受”或“我要炸了”，分不清是焦虑、羞耻、嫉妒、愤怒、委屈还是孤独时。
## 立即步骤
1. 先写：“我现在感到……”
2. 从最接近的词中选一个，不要求完美准确。
3. 再补充强度：轻微、中等、强烈，或0—100分。
4. 写出身体位置：“焦虑在胸口，羞耻像脸发热。”
5. 最后加一句：“我正在经历这种情绪，不等于我就是这种情绪。”
## 为什么这样做
把感受转化成词语，能让混在一起的体验变得更清晰。实验研究提示，情绪命名可能帮助调节部分人的主观痛苦，但效果会受到时机和强度影响。
## 使用边界
情绪命名不是要求你分析原因，也不保证命名后立即平静。若找不到准确词，可以写“混乱、过载、不确定”。强烈创伤反应时，不要强迫自己详细描述。</x:v>
      </x:c>
      <x:c r="D10" s="48" t="str">
        <x:v>情绪命名,情绪识别,羞耻,焦虑</x:v>
      </x:c>
      <x:c r="E10" s="48" t="str">
        <x:v>被内容触发后只剩一团强烈难受，不知道自己到底在怕什么或气什么时。</x:v>
      </x:c>
      <x:c r="F10" s="48" t="str">
        <x:v>参考：Lieberman等，2011；Levy-Gigi等，2022，情绪命名实验研究。</x:v>
      </x:c>
      <x:c r="G10" s="93" t="str">
        <x:v>否</x:v>
      </x:c>
    </x:row>
    <x:row r="11" ht="122" customHeight="1">
      <x:c r="A11" s="81" t="str">
        <x:v>三句现实定向：我在哪、发生了什么、现在安全吗</x:v>
      </x:c>
      <x:c r="B11" s="87" t="str">
        <x:v>情绪急救步骤</x:v>
      </x:c>
      <x:c r="C11" s="48" t="str">
        <x:v>## 什么时候使用
信息流中的灾难、网暴或关系内容让你感觉事情正在眼前发生，身体进入强烈警报状态时。
## 立即步骤
缓慢说出三句话：
1. **我在哪里**：“我现在坐在自己的房间里。”
2. **实际发生了什么**：“我刚刚在手机上看到一段内容。”
3. **此刻的安全状况**：“现在没有人正在房间里攻击我；我可以关掉屏幕并寻求帮助。”
然后再说出日期、时间和身边一个可信任的人或可用资源。
## 为什么这样做
强烈内容可能压缩时间和距离，让大脑把屏幕信息体验成正在发生的直接威胁。现实定向通过地点、时间和事实重新建立当前情境。
## 使用边界
如果你此刻确实处在现实危险、被跟踪、被威胁或需要紧急医疗帮助的环境中，不要用“我很安全”强行覆盖事实，应立即转移到安全地点并联系相应支持。</x:v>
      </x:c>
      <x:c r="D11" s="48" t="str">
        <x:v>现实定向,安全确认,灾难信息,警报状态</x:v>
      </x:c>
      <x:c r="E11" s="48" t="str">
        <x:v>看完灾难、冲突或网暴内容后，身体像危险正在身边发生一样高度警觉时。</x:v>
      </x:c>
      <x:c r="F11" s="48" t="str">
        <x:v>参考：VA National Center for PTSD，当下定向与安全提醒；WHO着陆练习。</x:v>
      </x:c>
      <x:c r="G11" s="93" t="str">
        <x:v>否</x:v>
      </x:c>
    </x:row>
    <x:row r="12" ht="122" customHeight="1">
      <x:c r="A12" s="81" t="str">
        <x:v>ABC环境搜索：用字母找回注意力</x:v>
      </x:c>
      <x:c r="B12" s="87" t="str">
        <x:v>情绪急救步骤</x:v>
      </x:c>
      <x:c r="C12" s="48" t="str">
        <x:v>## 什么时候使用
脑中反复想同一条评论、同一个人或同一场争论，五感练习又显得太复杂时。
## 立即步骤
1. 环顾房间，寻找一个以A音或A字母开头的物品。
2. 再找B、C，依次继续。
3. 找不到时可以跳过，也可以改成按颜色搜索：红色、蓝色、绿色。
4. 每找到一件，就描述一个客观特征，例如“蓝色杯子，圆形”。
5. 做到注意力不再完全黏在原内容上即可，不必完成全部字母。
## 为什么这样做
环境搜索给大脑一个简单而具体的外部任务，减少对内部画面和预测的持续加工。它适合不想闭眼、也不想关注呼吸的人。
## 使用边界
这不是测试记忆力，找不到不代表失败。若你正在驾驶、过马路或操作设备，应优先确保现实安全，不要分散必要注意力。</x:v>
      </x:c>
      <x:c r="D12" s="48" t="str">
        <x:v>环境搜索,ABC练习,注意转移,反复思考</x:v>
      </x:c>
      <x:c r="E12" s="48" t="str">
        <x:v>脑中不断重播评论和争论，需要一个简单外部任务打断循环时。</x:v>
      </x:c>
      <x:c r="F12" s="48" t="str">
        <x:v>参考：Kent Community Health NHS，2024，A-B-C around the room。</x:v>
      </x:c>
      <x:c r="G12" s="93" t="str">
        <x:v>否</x:v>
      </x:c>
    </x:row>
    <x:row r="13" ht="122" customHeight="1">
      <x:c r="A13" s="81" t="str">
        <x:v>冷静事实卡：只写三条可确认的信息</x:v>
      </x:c>
      <x:c r="B13" s="87" t="str">
        <x:v>情绪急救步骤</x:v>
      </x:c>
      <x:c r="C13" s="48" t="str">
        <x:v>## 什么时候使用
情绪上来后，脑中同时出现大量“他一定”“所有人”“以后永远”等推断，短时间内无法做完整认知分析时。
## 立即步骤
打开纸张或备忘录，只写三条：
1. **我确认发生的事实**：例如“对方两小时没有回复。”
2. **我无法确认的部分**：例如“我不知道原因，也不知道对方此刻在做什么。”
3. **现在不必决定的事**：例如“我不用今晚决定这段关系是否结束。”
读一遍后，把进一步判断推迟到情绪下降之后。
## 为什么这样做
急性焦虑时不适合完成复杂的证据表。三条事实卡用最少文字区分已知、未知和暂缓决定的部分，减少在高唤醒状态下作出永久结论。
## 使用边界
如果存在明确的现实危险或必须立即处理的时限，不应一概推迟。事实卡也不是替对方不当行为辩护，而是避免在信息不足时扩大结论。</x:v>
      </x:c>
      <x:c r="D13" s="48" t="str">
        <x:v>事实卡,暂停判断,已知未知,高唤醒</x:v>
      </x:c>
      <x:c r="E13" s="48" t="str">
        <x:v>已读不回、低互动或争议内容让你想立刻删号、绝交或公开回击时。</x:v>
      </x:c>
      <x:c r="F13" s="48" t="str">
        <x:v>参考：WHO，2020，脱钩与当下行动原则；VA心理急救中的稳定与实际帮助框架。</x:v>
      </x:c>
      <x:c r="G13" s="93" t="str">
        <x:v>否</x:v>
      </x:c>
    </x:row>
    <x:row r="14" ht="122" customHeight="1">
      <x:c r="A14" s="81" t="str">
        <x:v>十分钟延迟回应：先不回怼、不删帖、不做重大决定</x:v>
      </x:c>
      <x:c r="B14" s="87" t="str">
        <x:v>情绪急救步骤</x:v>
      </x:c>
      <x:c r="C14" s="48" t="str">
        <x:v>## 什么时候使用
看到恶评、冲突消息或低数据后，强烈想立即回怼、删帖、拉黑所有人、冲动消费或做其他不可逆决定时。
## 立即步骤
1. 告诉自己：“我不是永远不处理，只延迟十分钟。”
2. 把要发送的话先写在草稿，不点击发送。
3. 在十分钟内完成一项身体或感官练习，例如慢呼吸、脚底着地或环境搜索。
4. 十分钟后重新读草稿，删除攻击性和无法证实的推断。
5. 若情绪仍在80分以上，再延迟一次，或请可信任的人帮助查看。
## 为什么这样做
高唤醒会缩小注意范围，让人更重视立即释放而忽略长期后果。短延迟为情绪自然波动和重新评估留下时间，不等于压抑表达。
## 使用边界
正在遭受持续骚扰时，可以立即使用平台的屏蔽、举报和证据保存功能；延迟的是冲动性公开回应，不是必要的安全保护。</x:v>
      </x:c>
      <x:c r="D14" s="48" t="str">
        <x:v>延迟回应,冲动控制,恶评,高唤醒</x:v>
      </x:c>
      <x:c r="E14" s="48" t="str">
        <x:v>被恶评或冲突信息激怒，手已经放在发送、删帖或冲动操作按钮上时。</x:v>
      </x:c>
      <x:c r="F14" s="48" t="str">
        <x:v>参考：WHO压力管理中的减速、脱钩与微小行动；VA压力急救稳定原则。</x:v>
      </x:c>
      <x:c r="G14" s="93" t="str">
        <x:v>否</x:v>
      </x:c>
    </x:row>
    <x:row r="15" ht="122" customHeight="1">
      <x:c r="A15" s="81" t="str">
        <x:v>短暂身体移动：站起、伸展、走到另一个位置</x:v>
      </x:c>
      <x:c r="B15" s="87" t="str">
        <x:v>情绪急救步骤</x:v>
      </x:c>
      <x:c r="C15" s="48" t="str">
        <x:v>## 什么时候使用
坐在原地刷屏越刷越僵，情绪和身体姿势像被固定住，继续思考也没有新信息时。
## 立即步骤
1. 锁屏并确认周围安全。
2. 缓慢站起，伸展手臂或转动肩膀。
3. 走到房间另一端、窗边或洗手台。
4. 注意脚步、地面和视野变化，不需要剧烈运动。
5. 到达新位置后，再做一次事实确认：“我已经离开刚才的刷屏位置。”
## 为什么这样做
改变姿势和位置可以打断“同一屏幕—同一姿势—同一想法”的循环，也能帮助注意回到身体与环境。这里的目标是短暂重置，不是靠运动压掉所有情绪。
## 使用边界
眩晕、受伤或站立不稳时应坐着伸展。不要在极度激动时进行高强度运动，也不要把移动当成逃避必须处理的现实安全问题。
补充提醒：练习只需做到注意力稍微回到现实，不必追求立刻完全平静；不适合时可以直接更换另一种方法。</x:v>
      </x:c>
      <x:c r="D15" s="48" t="str">
        <x:v>身体移动,姿势改变,刷屏循环,伸展</x:v>
      </x:c>
      <x:c r="E15" s="48" t="str">
        <x:v>长时间盯着屏幕、身体僵硬，情绪和想法都卡在原地时。</x:v>
      </x:c>
      <x:c r="F15" s="48" t="str">
        <x:v>参考：WHO着陆练习中的身体移动与伸展；VA创伤压力应对中的伸展和活动建议。</x:v>
      </x:c>
      <x:c r="G15" s="93" t="str">
        <x:v>否</x:v>
      </x:c>
    </x:row>
    <x:row r="16" ht="122" customHeight="1">
      <x:c r="A16" s="81" t="str">
        <x:v>找一个人陪你三分钟：只连接，不急着分析</x:v>
      </x:c>
      <x:c r="B16" s="87" t="str">
        <x:v>情绪急救步骤</x:v>
      </x:c>
      <x:c r="C16" s="48" t="str">
        <x:v>## 什么时候使用
情绪已经很强，一个人反复刷、反复想，越分析越孤立，希望有人帮助你稳定下来时。
## 立即步骤
给可信任的人发一条具体请求：
&gt; “我刚被网上的内容触发了，现在有点慌。你不用分析对错，可以陪我通话或发消息三分钟吗？”
连接后可以：
1. 告诉对方你现在在哪里。
2. 请对方用平稳语气和你聊现实中的简单事情。
3. 一起做一次缓慢呼气或环境搜索。
4. 情绪稍降后，再决定要不要讲完整经过。
## 为什么这样做
社会连接是压力恢复的重要保护因素。急救阶段的重点不是立刻得到完美建议，而是减少孤立感、恢复安全和现实联系。
## 使用边界
选择尊重边界、不会羞辱或煽动你的人。若身边没有合适对象，可以联系学校、单位或当地专业支持。出现自伤想法或现实危险时，不应只依赖普通朋友。</x:v>
      </x:c>
      <x:c r="D16" s="48" t="str">
        <x:v>社会连接,陪伴请求,孤立感,求助</x:v>
      </x:c>
      <x:c r="E16" s="48" t="str">
        <x:v>一个人越刷越慌、越想越失控，需要现实中的人帮助稳定时。</x:v>
      </x:c>
      <x:c r="F16" s="48" t="str">
        <x:v>参考：VA Stress First Aid与Psychological First Aid中的连接和社会支持原则。</x:v>
      </x:c>
      <x:c r="G16" s="93" t="str">
        <x:v>否</x:v>
      </x:c>
    </x:row>
    <x:row r="17" ht="122" customHeight="1">
      <x:c r="A17" s="81" t="str">
        <x:v>恐慌浪潮提示卡：提醒自己它会变化</x:v>
      </x:c>
      <x:c r="B17" s="87" t="str">
        <x:v>情绪急救步骤</x:v>
      </x:c>
      <x:c r="C17" s="48" t="str">
        <x:v>## 什么时候使用
突然心跳很快、发抖、胸闷、强烈想逃离，担心自己会立刻失控或永远停不下来时。
## 立即步骤
提前或当下读一张简短提示卡：
- “我现在正经历一阵强烈焦虑。”
- “感觉很可怕，但感觉会变化。”
- “我先让呼吸保持舒适，不用吸得很深。”
- “我可以坐稳、看周围、联系一个人。”
- “十分钟后再评估，不在最高点做重大决定。”
同时使用双脚着地或环境搜索，不必同时完成很多技巧。
## 为什么这样做
恐慌时，大脑容易把身体感觉解释成不断升级的灾难。提示卡减少现场组织语言的负担，并帮助你把注意放在当下可做的步骤。
## 使用边界
不能把所有胸痛、呼吸困难或晕厥都归因于恐慌。症状首次出现、明显异常、持续加重或伴随医疗危险信号时，应及时求助医疗服务。</x:v>
      </x:c>
      <x:c r="D17" s="48" t="str">
        <x:v>恐慌,提示卡,暂时性,安全评估</x:v>
      </x:c>
      <x:c r="E17" s="48" t="str">
        <x:v>突然出现强烈身体警报，担心自己马上失控或症状永远不会结束时。</x:v>
      </x:c>
      <x:c r="F17" s="48" t="str">
        <x:v>参考：VA创伤压力反应应对；Kent NHS恐慌发作患者指南。</x:v>
      </x:c>
      <x:c r="G17" s="93" t="str">
        <x:v>否</x:v>
      </x:c>
    </x:row>
    <x:row r="18" ht="122" customHeight="1">
      <x:c r="A18" s="82" t="str">
        <x:v>稳定后的一个最小动作</x:v>
      </x:c>
      <x:c r="B18" s="88" t="str">
        <x:v>情绪急救步骤</x:v>
      </x:c>
      <x:c r="C18" s="51" t="str">
        <x:v>## 什么时候使用
情绪已经从最高点稍微下降，但仍然发空、无力，不知道接下来该继续刷、躺着还是处理事情时。
## 立即步骤
从以下类别只选一个两分钟内能开始的动作：
- **照顾身体**：喝水、洗脸、吃一小份正常食物。
- **恢复环境**：打开灯、拉开窗帘、整理桌面一小块。
- **恢复任务**：打开文档，只写标题；拿出书，只读一页。
- **恢复连接**：回复一个安全、简单的现实消息。
动作完成后先停，不要求立刻恢复高效率。
## 为什么这样做
急救后的空档很容易再次回到信息流。一个最小动作把稳定感连接到现实生活，让“我能做一点事情”的体验重新出现。
## 使用边界
这不是效率挑战，也不要因为只完成很小的动作而批评自己。若基本进食、睡眠、学习或工作长期无法维持，应考虑寻求专业支持。</x:v>
      </x:c>
      <x:c r="D18" s="51" t="str">
        <x:v>最小动作,恢复现实,两分钟,掌控感</x:v>
      </x:c>
      <x:c r="E18" s="51" t="str">
        <x:v>情绪稍微稳定后仍感到空白，容易重新打开平台继续刷时。</x:v>
      </x:c>
      <x:c r="F18" s="51" t="str">
        <x:v>参考：WHO，2020，着陆后按价值采取小行动；VA压力急救中的效能与实际帮助。</x:v>
      </x:c>
      <x:c r="G18" s="94" t="str">
        <x:v>否</x:v>
      </x:c>
    </x:row>
  </x:sheetData>
  <x:mergeCells>
    <x:mergeCell ref="A1:G1"/>
    <x:mergeCell ref="A2:G2"/>
  </x:mergeCells>
  <x:conditionalFormatting sqref="G4:G18">
    <x:cfRule type="expression" dxfId="0" priority="1">
      <x:formula>G4="是"</x:formula>
    </x:cfRule>
  </x:conditionalFormatting>
  <x:dataValidations count="2">
    <x:dataValidation type="list" sqref="B4:B18">
      <x:formula1>"情绪急救步骤"</x:formula1>
    </x:dataValidation>
    <x:dataValidation type="list" sqref="G4:G18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8cea388b6c47c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10" hidden="0" customWidth="1"/>
    <x:col min="4" max="4" width="50" hidden="0" customWidth="1"/>
    <x:col min="5" max="5" width="58" hidden="0" customWidth="1"/>
  </x:cols>
  <x:sheetData>
    <x:row r="1" ht="32" customHeight="1">
      <x:c r="A1" s="5" t="str">
        <x:v>情绪急救步骤｜方法地图</x:v>
      </x:c>
      <x:c r="B1" s="5"/>
      <x:c r="C1" s="5"/>
      <x:c r="D1" s="5"/>
      <x:c r="E1" s="5"/>
    </x:row>
    <x:row r="2">
      <x:c r="A2" s="13" t="str">
        <x:v>本分类只处理当下几分钟的稳定，不承担诊断、长期治疗、平台管理或完整认知重构。</x:v>
      </x:c>
      <x:c r="B2" s="13"/>
      <x:c r="C2" s="13"/>
      <x:c r="D2" s="13"/>
      <x:c r="E2" s="13"/>
    </x:row>
    <x:row r="4">
      <x:c r="A4" s="21" t="str">
        <x:v>方法组</x:v>
      </x:c>
      <x:c r="B4" s="21" t="str">
        <x:v>包含条目</x:v>
      </x:c>
      <x:c r="C4" s="21" t="str">
        <x:v>数量</x:v>
      </x:c>
      <x:c r="D4" s="21" t="str">
        <x:v>主要目标</x:v>
      </x:c>
      <x:c r="E4" s="21" t="str">
        <x:v>不适用或注意事项</x:v>
      </x:c>
    </x:row>
    <x:row r="5" ht="74" customHeight="1">
      <x:c r="A5" s="151" t="str">
        <x:v>暂停与环境定向</x:v>
      </x:c>
      <x:c r="B5" s="117" t="str">
        <x:v>暂停信息流、5-4-3-2-1、双脚着地、现实三句、ABC搜索</x:v>
      </x:c>
      <x:c r="C5" s="157" t="n">
        <x:v>5</x:v>
      </x:c>
      <x:c r="D5" s="117" t="str">
        <x:v>把注意从屏幕和预测拉回当前环境</x:v>
      </x:c>
      <x:c r="E5" s="118" t="str">
        <x:v>现实危险时优先离开和求助，不要用“我安全”覆盖事实</x:v>
      </x:c>
    </x:row>
    <x:row r="6" ht="74" customHeight="1">
      <x:c r="A6" s="152" t="str">
        <x:v>呼吸与身体放松</x:v>
      </x:c>
      <x:c r="B6" s="120" t="str">
        <x:v>舒适慢呼吸、三点放松、迷你肌肉放松、短暂移动</x:v>
      </x:c>
      <x:c r="C6" s="158" t="n">
        <x:v>4</x:v>
      </x:c>
      <x:c r="D6" s="120" t="str">
        <x:v>降低急促呼吸和肌肉紧张带来的额外负荷</x:v>
      </x:c>
      <x:c r="E6" s="121" t="str">
        <x:v>不憋气、不强迫深呼吸；疼痛、眩晕或医疗危险时停止</x:v>
      </x:c>
    </x:row>
    <x:row r="7" ht="74" customHeight="1">
      <x:c r="A7" s="152" t="str">
        <x:v>情绪与判断稳定</x:v>
      </x:c>
      <x:c r="B7" s="120" t="str">
        <x:v>情绪命名、冷静事实卡、十分钟延迟、恐慌提示卡</x:v>
      </x:c>
      <x:c r="C7" s="158" t="n">
        <x:v>4</x:v>
      </x:c>
      <x:c r="D7" s="120" t="str">
        <x:v>减少混乱命名、冲动回应和最高点决策</x:v>
      </x:c>
      <x:c r="E7" s="121" t="str">
        <x:v>不否认现实伤害；需要及时保护时可立即屏蔽、举报或取证</x:v>
      </x:c>
    </x:row>
    <x:row r="8" ht="74" customHeight="1">
      <x:c r="A8" s="153" t="str">
        <x:v>连接与恢复</x:v>
      </x:c>
      <x:c r="B8" s="123" t="str">
        <x:v>找人陪伴、稳定后的最小动作</x:v>
      </x:c>
      <x:c r="C8" s="159" t="n">
        <x:v>2</x:v>
      </x:c>
      <x:c r="D8" s="123" t="str">
        <x:v>减少孤立并重新连接现实生活</x:v>
      </x:c>
      <x:c r="E8" s="124" t="str">
        <x:v>自伤风险、现实威胁或严重功能受损不能只依靠普通陪伴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9" hidden="0" customWidth="1"/>
    <x:col min="3" max="3" width="63" hidden="0" customWidth="1"/>
    <x:col min="4" max="4" width="40" hidden="0" customWidth="1"/>
    <x:col min="5" max="5" width="27" hidden="0" customWidth="1"/>
    <x:col min="6" max="6" width="44" hidden="0" customWidth="1"/>
    <x:col min="7" max="7" width="58" hidden="0" customWidth="1"/>
  </x:cols>
  <x:sheetData>
    <x:row r="1" ht="32" customHeight="1">
      <x:c r="A1" s="5" t="str">
        <x:v>来源索引｜压力管理、着陆与短时稳定</x:v>
      </x:c>
      <x:c r="B1" s="5"/>
      <x:c r="C1" s="5"/>
      <x:c r="D1" s="5"/>
      <x:c r="E1" s="5"/>
      <x:c r="F1" s="5"/>
      <x:c r="G1" s="5"/>
    </x:row>
    <x:row r="2">
      <x:c r="A2" s="13" t="str">
        <x:v>source_note 使用简写；本页保留完整题名和稳定链接。多数资料属于压力管理或临床科普，不能理解为对所有用户保证有效。</x:v>
      </x:c>
      <x:c r="B2" s="13"/>
      <x:c r="C2" s="13"/>
      <x:c r="D2" s="13"/>
      <x:c r="E2" s="13"/>
      <x:c r="F2" s="13"/>
      <x:c r="G2" s="13"/>
    </x:row>
    <x:row r="3">
      <x:c r="A3" s="21" t="str">
        <x:v>编号</x:v>
      </x:c>
      <x:c r="B3" s="21" t="str">
        <x:v>作者 / 年份</x:v>
      </x:c>
      <x:c r="C3" s="21" t="str">
        <x:v>完整题名</x:v>
      </x:c>
      <x:c r="D3" s="21" t="str">
        <x:v>期刊 / 来源</x:v>
      </x:c>
      <x:c r="E3" s="21" t="str">
        <x:v>证据类型</x:v>
      </x:c>
      <x:c r="F3" s="21" t="str">
        <x:v>主要支持主题</x:v>
      </x:c>
      <x:c r="G3" s="21" t="str">
        <x:v>稳定链接</x:v>
      </x:c>
    </x:row>
    <x:row r="4" ht="58" customHeight="1">
      <x:c r="A4" s="163" t="n">
        <x:v>1</x:v>
      </x:c>
      <x:c r="B4" s="45" t="str">
        <x:v>World Health Organization，2020</x:v>
      </x:c>
      <x:c r="C4" s="45" t="str">
        <x:v>Doing What Matters in Times of Stress: An Illustrated Guide</x:v>
      </x:c>
      <x:c r="D4" s="45" t="str">
        <x:v>World Health Organization</x:v>
      </x:c>
      <x:c r="E4" s="45" t="str">
        <x:v>循证自助指南</x:v>
      </x:c>
      <x:c r="F4" s="45" t="str">
        <x:v>感官着陆、减速、身体连接、与困难想法脱钩、微小行动</x:v>
      </x:c>
      <x:c r="G4" s="46" t="str">
        <x:v>https://www.who.int/publications/i/item/9789240003927</x:v>
      </x:c>
    </x:row>
    <x:row r="5" ht="58" customHeight="1">
      <x:c r="A5" s="164" t="n">
        <x:v>2</x:v>
      </x:c>
      <x:c r="B5" s="48" t="str">
        <x:v>NHS，2022</x:v>
      </x:c>
      <x:c r="C5" s="48" t="str">
        <x:v>Breathing exercises for stress</x:v>
      </x:c>
      <x:c r="D5" s="48" t="str">
        <x:v>National Health Service</x:v>
      </x:c>
      <x:c r="E5" s="48" t="str">
        <x:v>官方自助指南</x:v>
      </x:c>
      <x:c r="F5" s="48" t="str">
        <x:v>舒适、规律、不强迫的缓慢呼吸</x:v>
      </x:c>
      <x:c r="G5" s="49" t="str">
        <x:v>https://www.nhs.uk/mental-health/self-help/guides-tools-and-activities/breathing-exercises-for-stress/</x:v>
      </x:c>
    </x:row>
    <x:row r="6" ht="58" customHeight="1">
      <x:c r="A6" s="164" t="n">
        <x:v>3</x:v>
      </x:c>
      <x:c r="B6" s="48" t="str">
        <x:v>Royal Berkshire NHS Foundation Trust，2024</x:v>
      </x:c>
      <x:c r="C6" s="48" t="str">
        <x:v>Grounding techniques to help with anxiety</x:v>
      </x:c>
      <x:c r="D6" s="48" t="str">
        <x:v>Royal Berkshire NHS Foundation Trust</x:v>
      </x:c>
      <x:c r="E6" s="48" t="str">
        <x:v>医院患者指南</x:v>
      </x:c>
      <x:c r="F6" s="48" t="str">
        <x:v>感官着陆、缓慢呼吸、身体与环境定向</x:v>
      </x:c>
      <x:c r="G6" s="49" t="str">
        <x:v>https://www.royalberkshire.nhs.uk/media/iyalqotd/grounding-techniques-to-help-with-anxiety_apr24.pdf</x:v>
      </x:c>
    </x:row>
    <x:row r="7" ht="58" customHeight="1">
      <x:c r="A7" s="164" t="n">
        <x:v>4</x:v>
      </x:c>
      <x:c r="B7" s="48" t="str">
        <x:v>Kent Community Health NHS Foundation Trust，2024</x:v>
      </x:c>
      <x:c r="C7" s="48" t="str">
        <x:v>Panic attacks</x:v>
      </x:c>
      <x:c r="D7" s="48" t="str">
        <x:v>Kent Community Health NHS Foundation Trust</x:v>
      </x:c>
      <x:c r="E7" s="48" t="str">
        <x:v>医院患者指南</x:v>
      </x:c>
      <x:c r="F7" s="48" t="str">
        <x:v>矩形呼吸、ABC环境搜索、恐慌时的定向练习</x:v>
      </x:c>
      <x:c r="G7" s="49" t="str">
        <x:v>https://www.kentcht.nhs.uk/leaflet/panic-attacks/</x:v>
      </x:c>
    </x:row>
    <x:row r="8" ht="58" customHeight="1">
      <x:c r="A8" s="164" t="n">
        <x:v>5</x:v>
      </x:c>
      <x:c r="B8" s="48" t="str">
        <x:v>Cambridge University Hospitals NHS Foundation Trust</x:v>
      </x:c>
      <x:c r="C8" s="48" t="str">
        <x:v>Breathing exercises in the treatment of hyperventilation</x:v>
      </x:c>
      <x:c r="D8" s="48" t="str">
        <x:v>Cambridge University Hospitals NHS Foundation Trust</x:v>
      </x:c>
      <x:c r="E8" s="48" t="str">
        <x:v>医院患者指南</x:v>
      </x:c>
      <x:c r="F8" s="48" t="str">
        <x:v>放松肩胸、舒适节奏呼吸、避免用力过度</x:v>
      </x:c>
      <x:c r="G8" s="49" t="str">
        <x:v>https://www.cuh.nhs.uk/patient-information/breathing-exercises-in-the-treatment-of-hyperventilation/</x:v>
      </x:c>
    </x:row>
    <x:row r="9" ht="58" customHeight="1">
      <x:c r="A9" s="164" t="n">
        <x:v>6</x:v>
      </x:c>
      <x:c r="B9" s="48" t="str">
        <x:v>Royal Brompton &amp; Harefield Hospitals NHS Foundation Trust</x:v>
      </x:c>
      <x:c r="C9" s="48" t="str">
        <x:v>Guided relaxation and mindfulness for patients</x:v>
      </x:c>
      <x:c r="D9" s="48" t="str">
        <x:v>NHS</x:v>
      </x:c>
      <x:c r="E9" s="48" t="str">
        <x:v>医院放松资源</x:v>
      </x:c>
      <x:c r="F9" s="48" t="str">
        <x:v>渐进性肌肉放松、身体紧张识别</x:v>
      </x:c>
      <x:c r="G9" s="49" t="str">
        <x:v>https://www.rbht.nhs.uk/our-services/clinical_support/rehabilitation-and-therapies/psychological-medicine/relaxation-exercises</x:v>
      </x:c>
    </x:row>
    <x:row r="10" ht="58" customHeight="1">
      <x:c r="A10" s="164" t="n">
        <x:v>7</x:v>
      </x:c>
      <x:c r="B10" s="48" t="str">
        <x:v>Birmingham and Solihull Mental Health NHS Foundation Trust</x:v>
      </x:c>
      <x:c r="C10" s="48" t="str">
        <x:v>Progressive Muscle Relaxation</x:v>
      </x:c>
      <x:c r="D10" s="48" t="str">
        <x:v>NHS</x:v>
      </x:c>
      <x:c r="E10" s="48" t="str">
        <x:v>医院患者指南</x:v>
      </x:c>
      <x:c r="F10" s="48" t="str">
        <x:v>肌肉紧张与放松对比练习</x:v>
      </x:c>
      <x:c r="G10" s="49" t="str">
        <x:v>https://www.bsmhft.nhs.uk/wp-content/uploads/2023/08/Progressive-muscle-relaxation.pdf</x:v>
      </x:c>
    </x:row>
    <x:row r="11" ht="58" customHeight="1">
      <x:c r="A11" s="164" t="n">
        <x:v>8</x:v>
      </x:c>
      <x:c r="B11" s="48" t="str">
        <x:v>VA National Center for PTSD</x:v>
      </x:c>
      <x:c r="C11" s="48" t="str">
        <x:v>Coping with Traumatic Stress Reactions</x:v>
      </x:c>
      <x:c r="D11" s="48" t="str">
        <x:v>U.S. Department of Veterans Affairs</x:v>
      </x:c>
      <x:c r="E11" s="48" t="str">
        <x:v>政府临床科普</x:v>
      </x:c>
      <x:c r="F11" s="48" t="str">
        <x:v>突然焦虑或恐慌、呼吸、肌肉放松和应对提示</x:v>
      </x:c>
      <x:c r="G11" s="49" t="str">
        <x:v>https://www.ptsd.va.gov/gethelp/coping_stress_reactions.asp</x:v>
      </x:c>
    </x:row>
    <x:row r="12" ht="58" customHeight="1">
      <x:c r="A12" s="164" t="n">
        <x:v>9</x:v>
      </x:c>
      <x:c r="B12" s="48" t="str">
        <x:v>VA National Center for PTSD，2025</x:v>
      </x:c>
      <x:c r="C12" s="48" t="str">
        <x:v>Trauma Reminders: Fireworks</x:v>
      </x:c>
      <x:c r="D12" s="48" t="str">
        <x:v>U.S. Department of Veterans Affairs</x:v>
      </x:c>
      <x:c r="E12" s="48" t="str">
        <x:v>政府临床科普</x:v>
      </x:c>
      <x:c r="F12" s="48" t="str">
        <x:v>当下定向、提醒安全、感觉刺激和暂时性提示</x:v>
      </x:c>
      <x:c r="G12" s="49" t="str">
        <x:v>https://www.ptsd.va.gov/understand/what/fireworks_ptsd.asp</x:v>
      </x:c>
    </x:row>
    <x:row r="13" ht="58" customHeight="1">
      <x:c r="A13" s="164" t="n">
        <x:v>10</x:v>
      </x:c>
      <x:c r="B13" s="48" t="str">
        <x:v>VA National Center for PTSD</x:v>
      </x:c>
      <x:c r="C13" s="48" t="str">
        <x:v>Stress First Aid for Health Care Workers</x:v>
      </x:c>
      <x:c r="D13" s="48" t="str">
        <x:v>U.S. Department of Veterans Affairs</x:v>
      </x:c>
      <x:c r="E13" s="48" t="str">
        <x:v>压力急救框架</x:v>
      </x:c>
      <x:c r="F13" s="48" t="str">
        <x:v>安全感、镇定、连接、效能与社会支持</x:v>
      </x:c>
      <x:c r="G13" s="49" t="str">
        <x:v>https://www.ptsd.va.gov/PTSD/disaster_events/for_providers/SFA/docs/SFA_HCW_Manual_508.pdf</x:v>
      </x:c>
    </x:row>
    <x:row r="14" ht="58" customHeight="1">
      <x:c r="A14" s="164" t="n">
        <x:v>11</x:v>
      </x:c>
      <x:c r="B14" s="48" t="str">
        <x:v>Lieberman等，2011</x:v>
      </x:c>
      <x:c r="C14" s="48" t="str">
        <x:v>Subjective Responses to Emotional Stimuli During Labeling, Reappraisal, and Distraction</x:v>
      </x:c>
      <x:c r="D14" s="48" t="str">
        <x:v>Emotion</x:v>
      </x:c>
      <x:c r="E14" s="48" t="str">
        <x:v>实验研究</x:v>
      </x:c>
      <x:c r="F14" s="48" t="str">
        <x:v>情绪命名与主观痛苦调节</x:v>
      </x:c>
      <x:c r="G14" s="49" t="str">
        <x:v>https://pmc.ncbi.nlm.nih.gov/articles/PMC3444304/</x:v>
      </x:c>
    </x:row>
    <x:row r="15" ht="58" customHeight="1">
      <x:c r="A15" s="164" t="n">
        <x:v>12</x:v>
      </x:c>
      <x:c r="B15" s="48" t="str">
        <x:v>Levy-Gigi等，2022</x:v>
      </x:c>
      <x:c r="C15" s="48" t="str">
        <x:v>Affect labeling: The role of timing and intensity</x:v>
      </x:c>
      <x:c r="D15" s="48" t="str">
        <x:v>Frontiers in Psychology</x:v>
      </x:c>
      <x:c r="E15" s="48" t="str">
        <x:v>实验研究</x:v>
      </x:c>
      <x:c r="F15" s="48" t="str">
        <x:v>情绪命名、时机与情绪强度差异</x:v>
      </x:c>
      <x:c r="G15" s="49" t="str">
        <x:v>https://pmc.ncbi.nlm.nih.gov/articles/PMC9799301/</x:v>
      </x:c>
    </x:row>
    <x:row r="16" ht="58" customHeight="1">
      <x:c r="A16" s="164" t="n">
        <x:v>13</x:v>
      </x:c>
      <x:c r="B16" s="48" t="str">
        <x:v>Morie等，2022</x:v>
      </x:c>
      <x:c r="C16" s="48" t="str">
        <x:v>The process of emotion identification: Considerations for psychiatric disorders</x:v>
      </x:c>
      <x:c r="D16" s="48" t="str">
        <x:v>Journal of Psychiatric Research</x:v>
      </x:c>
      <x:c r="E16" s="48" t="str">
        <x:v>理论与综述</x:v>
      </x:c>
      <x:c r="F16" s="48" t="str">
        <x:v>情绪识别、身体感受、情境和命名</x:v>
      </x:c>
      <x:c r="G16" s="49" t="str">
        <x:v>https://pmc.ncbi.nlm.nih.gov/articles/PMC8969204/</x:v>
      </x:c>
    </x:row>
    <x:row r="17" ht="58" customHeight="1">
      <x:c r="A17" s="164" t="n">
        <x:v>14</x:v>
      </x:c>
      <x:c r="B17" s="48" t="str">
        <x:v>NHS</x:v>
      </x:c>
      <x:c r="C17" s="48" t="str">
        <x:v>Mindfulness</x:v>
      </x:c>
      <x:c r="D17" s="48" t="str">
        <x:v>National Health Service</x:v>
      </x:c>
      <x:c r="E17" s="48" t="str">
        <x:v>官方自助指南</x:v>
      </x:c>
      <x:c r="F17" s="48" t="str">
        <x:v>非评判地注意当下体验</x:v>
      </x:c>
      <x:c r="G17" s="49" t="str">
        <x:v>https://www.nhs.uk/mental-health/self-help/tips-and-support/mindfulness/</x:v>
      </x:c>
    </x:row>
    <x:row r="18" ht="58" customHeight="1">
      <x:c r="A18" s="165" t="n">
        <x:v>15</x:v>
      </x:c>
      <x:c r="B18" s="51" t="str">
        <x:v>VA National Center for PTSD</x:v>
      </x:c>
      <x:c r="C18" s="51" t="str">
        <x:v>Psychological First Aid Field Operations Guide</x:v>
      </x:c>
      <x:c r="D18" s="51" t="str">
        <x:v>U.S. Department of Veterans Affairs</x:v>
      </x:c>
      <x:c r="E18" s="51" t="str">
        <x:v>心理急救指南</x:v>
      </x:c>
      <x:c r="F18" s="51" t="str">
        <x:v>安全、稳定、实际帮助与社会连接</x:v>
      </x:c>
      <x:c r="G18" s="52" t="str">
        <x:v>https://www.ptsd.va.gov/PTSD/disaster_events/for_providers/PFA/PFA_V2.pdf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29dced43dd549f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55" hidden="0" customWidth="1"/>
    <x:col min="4" max="4" width="58" hidden="0" customWidth="1"/>
  </x:cols>
  <x:sheetData>
    <x:row r="1" ht="32" customHeight="1">
      <x:c r="A1" s="5" t="str">
        <x:v>情绪急救步骤｜使用边界</x:v>
      </x:c>
      <x:c r="B1" s="5"/>
      <x:c r="C1" s="5"/>
      <x:c r="D1" s="5"/>
    </x:row>
    <x:row r="3">
      <x:c r="A3" s="21" t="str">
        <x:v>情况</x:v>
      </x:c>
      <x:c r="B3" s="21" t="str">
        <x:v>本分类可以做什么</x:v>
      </x:c>
      <x:c r="C3" s="21" t="str">
        <x:v>本分类不能替代什么</x:v>
      </x:c>
      <x:c r="D3" s="21" t="str">
        <x:v>下一步</x:v>
      </x:c>
    </x:row>
    <x:row r="4" ht="64" customHeight="1">
      <x:c r="A4" s="151" t="str">
        <x:v>一般触发与短时焦虑</x:v>
      </x:c>
      <x:c r="B4" s="117" t="str">
        <x:v>暂停输入、着陆、舒适呼吸、情绪命名、延迟冲动操作</x:v>
      </x:c>
      <x:c r="C4" s="117" t="str">
        <x:v>长期问题解决和心理治疗</x:v>
      </x:c>
      <x:c r="D4" s="118" t="str">
        <x:v>稳定后再进入CBT、行动建议或长期训练</x:v>
      </x:c>
    </x:row>
    <x:row r="5" ht="64" customHeight="1">
      <x:c r="A5" s="152" t="str">
        <x:v>疑似恐慌或强烈身体反应</x:v>
      </x:c>
      <x:c r="B5" s="120" t="str">
        <x:v>坐稳、环境定向、舒适呼吸、联系可信任的人</x:v>
      </x:c>
      <x:c r="C5" s="120" t="str">
        <x:v>医疗诊断</x:v>
      </x:c>
      <x:c r="D5" s="121" t="str">
        <x:v>首次、异常或持续加重的胸痛、呼吸困难、晕厥应就医</x:v>
      </x:c>
    </x:row>
    <x:row r="6" ht="64" customHeight="1">
      <x:c r="A6" s="152" t="str">
        <x:v>现实网暴、勒索或隐私威胁</x:v>
      </x:c>
      <x:c r="B6" s="120" t="str">
        <x:v>帮助短暂稳定，避免冲动公开回应</x:v>
      </x:c>
      <x:c r="C6" s="120" t="str">
        <x:v>取证、平台申诉、法律与安全措施</x:v>
      </x:c>
      <x:c r="D6" s="121" t="str">
        <x:v>先保存证据、屏蔽举报并联系现实支持</x:v>
      </x:c>
    </x:row>
    <x:row r="7" ht="64" customHeight="1">
      <x:c r="A7" s="153" t="str">
        <x:v>自伤想法或无法保证安全</x:v>
      </x:c>
      <x:c r="B7" s="123" t="str">
        <x:v>不建议只依靠自助条目</x:v>
      </x:c>
      <x:c r="C7" s="123" t="str">
        <x:v>紧急危机干预</x:v>
      </x:c>
      <x:c r="D7" s="124" t="str">
        <x:v>立即联系当地紧急服务、专业人员和可信任的人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48" hidden="0" customWidth="1"/>
  </x:cols>
  <x:sheetData>
    <x:row r="1" ht="32" customHeight="1">
      <x:c r="A1" s="5" t="str">
        <x:v>知识库质量检查｜情绪急救步骤</x:v>
      </x:c>
      <x:c r="B1" s="5"/>
      <x:c r="C1" s="5"/>
      <x:c r="D1" s="5"/>
    </x:row>
    <x:row r="3">
      <x:c r="A3" s="21" t="str">
        <x:v>检查项目</x:v>
      </x:c>
      <x:c r="B3" s="21" t="str">
        <x:v>结果</x:v>
      </x:c>
      <x:c r="C3" s="21" t="str">
        <x:v>状态</x:v>
      </x:c>
      <x:c r="D3" s="21" t="str">
        <x:v>标准 / 说明</x:v>
      </x:c>
    </x:row>
    <x:row r="4" ht="28" customHeight="1">
      <x:c r="A4" s="151" t="str">
        <x:v>正式条目总数</x:v>
      </x:c>
      <x:c r="B4" s="157" t="n">
        <x:f>COUNTA('导入表'!A4:A18)</x:f>
        <x:v>15</x:v>
      </x:c>
      <x:c r="C4" s="157" t="str">
        <x:f>IF(B4=15,"通过","需检查")</x:f>
        <x:v>通过</x:v>
      </x:c>
      <x:c r="D4" s="118" t="str">
        <x:v>本版目标：15 条</x:v>
      </x:c>
    </x:row>
    <x:row r="5" ht="28" customHeight="1">
      <x:c r="A5" s="152" t="str">
        <x:v>空标题数量</x:v>
      </x:c>
      <x:c r="B5" s="158" t="n">
        <x:f>COUNTIF('导入表'!A4:A18,"")</x:f>
        <x:v>0</x:v>
      </x:c>
      <x:c r="C5" s="158" t="str">
        <x:f>IF(B5=0,"通过","需修正")</x:f>
        <x:v>通过</x:v>
      </x:c>
      <x:c r="D5" s="121" t="str">
        <x:v>必须为 0</x:v>
      </x:c>
    </x:row>
    <x:row r="6" ht="28" customHeight="1">
      <x:c r="A6" s="152" t="str">
        <x:v>空正文数量</x:v>
      </x:c>
      <x:c r="B6" s="158" t="n">
        <x:f>COUNTIF('导入表'!C4:C18,"")</x:f>
        <x:v>0</x:v>
      </x:c>
      <x:c r="C6" s="158" t="str">
        <x:f>IF(B6=0,"通过","需修正")</x:f>
        <x:v>通过</x:v>
      </x:c>
      <x:c r="D6" s="121" t="str">
        <x:v>必须为 0</x:v>
      </x:c>
    </x:row>
    <x:row r="7" ht="28" customHeight="1">
      <x:c r="A7" s="152" t="str">
        <x:v>分类名称不一致数量</x:v>
      </x:c>
      <x:c r="B7" s="158" t="n">
        <x:f>COUNTIF('导入表'!B4:B18,"&lt;&gt;情绪急救步骤")</x:f>
        <x:v>0</x:v>
      </x:c>
      <x:c r="C7" s="158" t="str">
        <x:f>IF(B7=0,"通过","需修正")</x:f>
        <x:v>通过</x:v>
      </x:c>
      <x:c r="D7" s="121" t="str">
        <x:v>必须为 0</x:v>
      </x:c>
    </x:row>
    <x:row r="8" ht="28" customHeight="1">
      <x:c r="A8" s="152" t="str">
        <x:v>首页推荐数量</x:v>
      </x:c>
      <x:c r="B8" s="158" t="n">
        <x:f>COUNTIF('导入表'!G4:G18,"是")</x:f>
        <x:v>3</x:v>
      </x:c>
      <x:c r="C8" s="158" t="str">
        <x:f>IF(AND(B8&gt;=B4*15%,B8&lt;=B4*25%),"通过","需调整")</x:f>
        <x:v>通过</x:v>
      </x:c>
      <x:c r="D8" s="121" t="str">
        <x:v>建议占总数 15%—25%</x:v>
      </x:c>
    </x:row>
    <x:row r="9" ht="28" customHeight="1">
      <x:c r="A9" s="152" t="str">
        <x:v>首页推荐占比</x:v>
      </x:c>
      <x:c r="B9" s="169" t="n">
        <x:f>B8/B4</x:f>
        <x:v>0.2</x:v>
      </x:c>
      <x:c r="C9" s="158" t="str">
        <x:f>IF(AND(B9&gt;=15%,B9&lt;=25%),"通过","需调整")</x:f>
        <x:v>通过</x:v>
      </x:c>
      <x:c r="D9" s="121" t="str">
        <x:v>建议 15%—25%</x:v>
      </x:c>
    </x:row>
    <x:row r="10" ht="28" customHeight="1">
      <x:c r="A10" s="152" t="str">
        <x:v>无效推荐值数量</x:v>
      </x:c>
      <x:c r="B10" s="158" t="n">
        <x:f>COUNTIF('导入表'!G4:G18,"&lt;&gt;是")-COUNTIF('导入表'!G4:G18,"否")</x:f>
        <x:v>0</x:v>
      </x:c>
      <x:c r="C10" s="158" t="str">
        <x:f>IF(B10=0,"通过","需修正")</x:f>
        <x:v>通过</x:v>
      </x:c>
      <x:c r="D10" s="121" t="str">
        <x:v>只能为“是”或“否”</x:v>
      </x:c>
    </x:row>
    <x:row r="11" ht="28" customHeight="1">
      <x:c r="A11" s="152" t="str">
        <x:v>重复标题数量</x:v>
      </x:c>
      <x:c r="B11" s="158" t="n">
        <x:v>0</x:v>
      </x:c>
      <x:c r="C11" s="158" t="str">
        <x:f>IF(B11=0,"通过","需修正")</x:f>
        <x:v>通过</x:v>
      </x:c>
      <x:c r="D11" s="121" t="str">
        <x:v>必须为 0</x:v>
      </x:c>
    </x:row>
    <x:row r="12" ht="28" customHeight="1">
      <x:c r="A12" s="152" t="str">
        <x:v>标题最大长度</x:v>
      </x:c>
      <x:c r="B12" s="158" t="n">
        <x:v>23</x:v>
      </x:c>
      <x:c r="C12" s="158" t="str">
        <x:f>IF(B12&lt;=60,"通过","需修正")</x:f>
        <x:v>通过</x:v>
      </x:c>
      <x:c r="D12" s="121" t="str">
        <x:v>≤60 字</x:v>
      </x:c>
    </x:row>
    <x:row r="13" ht="28" customHeight="1">
      <x:c r="A13" s="152" t="str">
        <x:v>正文最短长度</x:v>
      </x:c>
      <x:c r="B13" s="158" t="n">
        <x:v>324</x:v>
      </x:c>
      <x:c r="C13" s="158" t="str">
        <x:f>IF(B13&gt;=320,"通过","需检查")</x:f>
        <x:v>通过</x:v>
      </x:c>
      <x:c r="D13" s="121" t="str">
        <x:v>短步骤类建议 ≥320 字</x:v>
      </x:c>
    </x:row>
    <x:row r="14" ht="28" customHeight="1">
      <x:c r="A14" s="152" t="str">
        <x:v>正文最大长度</x:v>
      </x:c>
      <x:c r="B14" s="158" t="n">
        <x:v>386</x:v>
      </x:c>
      <x:c r="C14" s="158" t="str">
        <x:f>IF(B14&lt;=5000,"通过","需修正")</x:f>
        <x:v>通过</x:v>
      </x:c>
      <x:c r="D14" s="121" t="str">
        <x:v>≤5000 字</x:v>
      </x:c>
    </x:row>
    <x:row r="15" ht="28" customHeight="1">
      <x:c r="A15" s="152" t="str">
        <x:v>单条最多标签数</x:v>
      </x:c>
      <x:c r="B15" s="158" t="n">
        <x:v>4</x:v>
      </x:c>
      <x:c r="C15" s="158" t="str">
        <x:f>IF(B15&lt;=5,"通过","需修正")</x:f>
        <x:v>通过</x:v>
      </x:c>
      <x:c r="D15" s="121" t="str">
        <x:v>≤5 个</x:v>
      </x:c>
    </x:row>
    <x:row r="16" ht="28" customHeight="1">
      <x:c r="A16" s="152" t="str">
        <x:v>最长单个标签</x:v>
      </x:c>
      <x:c r="B16" s="158" t="n">
        <x:v>5</x:v>
      </x:c>
      <x:c r="C16" s="158" t="str">
        <x:f>IF(B16&lt;=10,"通过","需修正")</x:f>
        <x:v>通过</x:v>
      </x:c>
      <x:c r="D16" s="121" t="str">
        <x:v>≤10 字</x:v>
      </x:c>
    </x:row>
    <x:row r="17" ht="28" customHeight="1">
      <x:c r="A17" s="152" t="str">
        <x:v>适用场景最大长度</x:v>
      </x:c>
      <x:c r="B17" s="158" t="n">
        <x:v>33</x:v>
      </x:c>
      <x:c r="C17" s="158" t="str">
        <x:f>IF(B17&lt;=200,"通过","需修正")</x:f>
        <x:v>通过</x:v>
      </x:c>
      <x:c r="D17" s="121" t="str">
        <x:v>≤200 字</x:v>
      </x:c>
    </x:row>
    <x:row r="18" ht="28" customHeight="1">
      <x:c r="A18" s="153" t="str">
        <x:v>来源说明最大长度</x:v>
      </x:c>
      <x:c r="B18" s="159" t="n">
        <x:v>63</x:v>
      </x:c>
      <x:c r="C18" s="159" t="str">
        <x:f>IF(B18&lt;=200,"通过","需修正")</x:f>
        <x:v>通过</x:v>
      </x:c>
      <x:c r="D18" s="124" t="str">
        <x:v>≤200 字</x:v>
      </x:c>
    </x:row>
  </x:sheetData>
  <x:mergeCells>
    <x:mergeCell ref="A1:D1"/>
  </x:mergeCells>
  <x:conditionalFormatting sqref="C4:C18">
    <x:cfRule type="expression" dxfId="1" priority="1">
      <x:formula>C4="通过"</x:formula>
    </x:cfRule>
    <x:cfRule type="expression" dxfId="2" priority="2">
      <x:formula>C4&lt;&gt;"通过"</x:formula>
    </x:cfRule>
  </x:conditionalFormatting>
  <x:pageMargins left="0.7" right="0.7" top="0.75" bottom="0.75" header="0.3" footer="0.3"/>
</x:worksheet>
</file>