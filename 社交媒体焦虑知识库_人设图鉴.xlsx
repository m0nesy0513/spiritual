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335eb2d22714bb9" /></Relationships>
</file>

<file path=xl/workbook.xml><?xml version="1.0" encoding="utf-8"?>
<x:workbook xmlns:x="http://schemas.openxmlformats.org/spreadsheetml/2006/main">
  <x:sheets>
    <x:sheet xmlns:r="http://schemas.openxmlformats.org/officeDocument/2006/relationships" name="导入表" sheetId="1" r:id="Rf7229458f8404d9c"/>
    <x:sheet xmlns:r="http://schemas.openxmlformats.org/officeDocument/2006/relationships" name="主题地图" sheetId="2" r:id="R34d58612d48147b9"/>
    <x:sheet xmlns:r="http://schemas.openxmlformats.org/officeDocument/2006/relationships" name="来源索引" sheetId="3" r:id="R9e53d2f71b2e4c75"/>
    <x:sheet xmlns:r="http://schemas.openxmlformats.org/officeDocument/2006/relationships" name="分类边界" sheetId="4" r:id="Rdd2b3c7d8bc44631"/>
    <x:sheet xmlns:r="http://schemas.openxmlformats.org/officeDocument/2006/relationships" name="质量检查" sheetId="5" r:id="Ra3716f5cfd98405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7">
    <x:font>
      <x:sz val="11"/>
      <x:name val="Carlito"/>
    </x:font>
    <x:font>
      <x:b/>
      <x:sz val="16"/>
      <x:color rgb="FFFFFFFF"/>
      <x:name val="Carlito"/>
    </x:font>
    <x:font>
      <x:i/>
      <x:sz val="11"/>
      <x:color rgb="FF4A355B"/>
      <x:name val="Carlito"/>
    </x:font>
    <x:font>
      <x:b/>
      <x:sz val="11"/>
      <x:color rgb="FFFFFFFF"/>
      <x:name val="Carlito"/>
    </x:font>
    <x:font>
      <x:sz val="10"/>
      <x:color rgb="FF2A2030"/>
      <x:name val="Carlito"/>
    </x:font>
    <x:font>
      <x:b/>
      <x:sz val="10"/>
      <x:color rgb="FF4A355B"/>
      <x:name val="Carlito"/>
    </x:font>
    <x:font>
      <x:b/>
      <x:sz val="11"/>
      <x:color rgb="FF4A355B"/>
      <x:name val="Carlito"/>
    </x:font>
  </x:fonts>
  <x:fills count="4">
    <x:fill>
      <x:patternFill patternType="none"/>
    </x:fill>
    <x:fill>
      <x:patternFill patternType="gray125"/>
    </x:fill>
    <x:fill>
      <x:patternFill patternType="solid">
        <x:fgColor rgb="FF4A355B"/>
      </x:patternFill>
    </x:fill>
    <x:fill>
      <x:patternFill patternType="solid">
        <x:fgColor rgb="FFEEE7F3"/>
      </x:patternFill>
    </x:fill>
  </x:fills>
  <x:borders count="18">
    <x:border/>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20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8" xfId="0" applyNumberFormat="1" applyFont="1" applyFill="1" applyBorder="1"/>
    <x:xf numFmtId="0" fontId="4" fillId="0" borderId="9"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0"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8" xfId="0" applyNumberFormat="1" applyFont="1" applyFill="1" applyBorder="1" applyAlignment="1">
      <x:alignment wrapText="1"/>
    </x:xf>
    <x:xf numFmtId="0" fontId="4" fillId="0" borderId="9"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 xfId="0" applyNumberFormat="1" applyFont="1" applyFill="1" applyBorder="1"/>
    <x:xf numFmtId="0" fontId="4" fillId="0" borderId="10" xfId="0" applyNumberFormat="1" applyFont="1" applyFill="1" applyBorder="1"/>
    <x:xf numFmtId="0" fontId="4" fillId="0" borderId="11" xfId="0" applyNumberFormat="1" applyFont="1" applyFill="1" applyBorder="1"/>
    <x:xf numFmtId="0" fontId="4" fillId="0" borderId="12" xfId="0" applyNumberFormat="1" applyFont="1" applyFill="1" applyBorder="1"/>
    <x:xf numFmtId="0" fontId="4" fillId="0" borderId="13" xfId="0" applyNumberFormat="1" applyFont="1" applyFill="1" applyBorder="1"/>
    <x:xf numFmtId="0" fontId="4" fillId="0" borderId="14" xfId="0" applyNumberFormat="1" applyFont="1" applyFill="1" applyBorder="1"/>
    <x:xf numFmtId="0" fontId="4" fillId="0" borderId="15" xfId="0" applyNumberFormat="1" applyFont="1" applyFill="1" applyBorder="1"/>
    <x:xf numFmtId="0" fontId="4" fillId="0" borderId="16" xfId="0" applyNumberFormat="1" applyFont="1" applyFill="1" applyBorder="1"/>
    <x:xf numFmtId="0" fontId="4" fillId="0" borderId="17" xfId="0" applyNumberFormat="1" applyFont="1" applyFill="1" applyBorder="1"/>
    <x:xf numFmtId="0" fontId="4" fillId="0" borderId="10" xfId="0" applyNumberFormat="1" applyFont="1" applyFill="1" applyBorder="1" applyAlignment="1">
      <x:alignment wrapText="1"/>
    </x:xf>
    <x:xf numFmtId="0" fontId="4" fillId="0" borderId="11" xfId="0" applyNumberFormat="1" applyFont="1" applyFill="1" applyBorder="1" applyAlignment="1">
      <x:alignment wrapText="1"/>
    </x:xf>
    <x:xf numFmtId="0" fontId="4" fillId="0" borderId="12" xfId="0" applyNumberFormat="1" applyFont="1" applyFill="1" applyBorder="1" applyAlignment="1">
      <x:alignment wrapText="1"/>
    </x:xf>
    <x:xf numFmtId="0" fontId="4" fillId="0" borderId="13" xfId="0" applyNumberFormat="1" applyFont="1" applyFill="1" applyBorder="1" applyAlignment="1">
      <x:alignment wrapText="1"/>
    </x:xf>
    <x:xf numFmtId="0" fontId="4" fillId="0" borderId="1" xfId="0" applyNumberFormat="1" applyFont="1" applyFill="1" applyBorder="1" applyAlignment="1">
      <x:alignment wrapText="1"/>
    </x:xf>
    <x:xf numFmtId="0" fontId="4" fillId="0" borderId="14" xfId="0" applyNumberFormat="1" applyFont="1" applyFill="1" applyBorder="1" applyAlignment="1">
      <x:alignment wrapText="1"/>
    </x:xf>
    <x:xf numFmtId="0" fontId="4" fillId="0" borderId="15" xfId="0" applyNumberFormat="1" applyFont="1" applyFill="1" applyBorder="1" applyAlignment="1">
      <x:alignment wrapText="1"/>
    </x:xf>
    <x:xf numFmtId="0" fontId="4" fillId="0" borderId="16" xfId="0" applyNumberFormat="1" applyFont="1" applyFill="1" applyBorder="1" applyAlignment="1">
      <x:alignment wrapText="1"/>
    </x:xf>
    <x:xf numFmtId="0" fontId="4" fillId="0" borderId="17" xfId="0" applyNumberFormat="1" applyFont="1" applyFill="1" applyBorder="1" applyAlignment="1">
      <x:alignment wrapText="1"/>
    </x:xf>
    <x:xf numFmtId="0" fontId="4" fillId="0" borderId="10" xfId="0" applyNumberFormat="1" applyFont="1" applyFill="1" applyBorder="1" applyAlignment="1">
      <x:alignment vertical="top" wrapText="1"/>
    </x:xf>
    <x:xf numFmtId="0" fontId="4" fillId="0" borderId="11" xfId="0" applyNumberFormat="1" applyFont="1" applyFill="1" applyBorder="1" applyAlignment="1">
      <x:alignment vertical="top" wrapText="1"/>
    </x:xf>
    <x:xf numFmtId="0" fontId="4" fillId="0" borderId="12" xfId="0" applyNumberFormat="1" applyFont="1" applyFill="1" applyBorder="1" applyAlignment="1">
      <x:alignment vertical="top" wrapText="1"/>
    </x:xf>
    <x:xf numFmtId="0" fontId="4" fillId="0" borderId="13"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0" borderId="14" xfId="0" applyNumberFormat="1" applyFont="1" applyFill="1" applyBorder="1" applyAlignment="1">
      <x:alignment vertical="top" wrapText="1"/>
    </x:xf>
    <x:xf numFmtId="0" fontId="4" fillId="0" borderId="15" xfId="0" applyNumberFormat="1" applyFont="1" applyFill="1" applyBorder="1" applyAlignment="1">
      <x:alignment vertical="top" wrapText="1"/>
    </x:xf>
    <x:xf numFmtId="0" fontId="4" fillId="0" borderId="16" xfId="0" applyNumberFormat="1" applyFont="1" applyFill="1" applyBorder="1" applyAlignment="1">
      <x:alignment vertical="top" wrapText="1"/>
    </x:xf>
    <x:xf numFmtId="0" fontId="4" fillId="0" borderId="17" xfId="0" applyNumberFormat="1" applyFont="1" applyFill="1" applyBorder="1" applyAlignment="1">
      <x:alignment vertical="top" wrapText="1"/>
    </x:xf>
    <x:xf numFmtId="0" fontId="5" fillId="0" borderId="2"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0" borderId="13" xfId="0" applyNumberFormat="1" applyFont="1" applyFill="1" applyBorder="1" applyAlignment="1">
      <x:alignment vertical="top" wrapText="1"/>
    </x:xf>
    <x:xf numFmtId="0" fontId="5" fillId="0" borderId="15" xfId="0" applyNumberFormat="1" applyFont="1" applyFill="1" applyBorder="1" applyAlignment="1">
      <x:alignment vertical="top" wrapText="1"/>
    </x:xf>
    <x:xf numFmtId="0" fontId="4" fillId="0" borderId="3" xfId="0" applyNumberFormat="1" applyFont="1" applyFill="1" applyBorder="1" applyAlignment="1">
      <x:alignment horizontal="center" vertical="top" wrapText="1"/>
    </x:xf>
    <x:xf numFmtId="0" fontId="4" fillId="0" borderId="0" xfId="0" applyNumberFormat="1" applyFont="1" applyFill="1" applyBorder="1" applyAlignment="1">
      <x:alignment horizontal="center" vertical="top" wrapText="1"/>
    </x:xf>
    <x:xf numFmtId="0" fontId="4" fillId="0" borderId="8" xfId="0" applyNumberFormat="1" applyFont="1" applyFill="1" applyBorder="1" applyAlignment="1">
      <x:alignment horizontal="center" vertical="top" wrapText="1"/>
    </x:xf>
    <x:xf numFmtId="0" fontId="4" fillId="0" borderId="11" xfId="0" applyNumberFormat="1" applyFont="1" applyFill="1" applyBorder="1" applyAlignment="1">
      <x:alignment horizontal="center" vertical="top" wrapText="1"/>
    </x:xf>
    <x:xf numFmtId="0" fontId="4" fillId="0" borderId="1" xfId="0" applyNumberFormat="1" applyFont="1" applyFill="1" applyBorder="1" applyAlignment="1">
      <x:alignment horizontal="center" vertical="top" wrapText="1"/>
    </x:xf>
    <x:xf numFmtId="0" fontId="4" fillId="0" borderId="16" xfId="0" applyNumberFormat="1" applyFont="1" applyFill="1" applyBorder="1" applyAlignment="1">
      <x:alignment horizontal="center" vertical="top" wrapText="1"/>
    </x:xf>
    <x:xf numFmtId="0" fontId="4" fillId="0" borderId="4" xfId="0" applyNumberFormat="1" applyFont="1" applyFill="1" applyBorder="1" applyAlignment="1">
      <x:alignment horizontal="center" vertical="top" wrapText="1"/>
    </x:xf>
    <x:xf numFmtId="0" fontId="4" fillId="0" borderId="6" xfId="0" applyNumberFormat="1" applyFont="1" applyFill="1" applyBorder="1" applyAlignment="1">
      <x:alignment horizontal="center" vertical="top" wrapText="1"/>
    </x:xf>
    <x:xf numFmtId="0" fontId="4" fillId="0" borderId="9" xfId="0" applyNumberFormat="1" applyFont="1" applyFill="1" applyBorder="1" applyAlignment="1">
      <x:alignment horizontal="center" vertical="top" wrapText="1"/>
    </x:xf>
    <x:xf numFmtId="0" fontId="4" fillId="0" borderId="12" xfId="0" applyNumberFormat="1" applyFont="1" applyFill="1" applyBorder="1" applyAlignment="1">
      <x:alignment horizontal="center" vertical="top" wrapText="1"/>
    </x:xf>
    <x:xf numFmtId="0" fontId="4" fillId="0" borderId="14" xfId="0" applyNumberFormat="1" applyFont="1" applyFill="1" applyBorder="1" applyAlignment="1">
      <x:alignment horizontal="center" vertical="top" wrapText="1"/>
    </x:xf>
    <x:xf numFmtId="0" fontId="4" fillId="0" borderId="17" xfId="0" applyNumberFormat="1" applyFont="1" applyFill="1" applyBorder="1" applyAlignment="1">
      <x:alignment horizontal="center" vertical="top" wrapText="1"/>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0"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6" fillId="0" borderId="2" xfId="0" applyNumberFormat="1" applyFont="1" applyFill="1" applyBorder="1" applyAlignment="1">
      <x:alignment vertical="top" wrapText="1"/>
    </x:xf>
    <x:xf numFmtId="0" fontId="6" fillId="0" borderId="5" xfId="0" applyNumberFormat="1" applyFont="1" applyFill="1" applyBorder="1" applyAlignment="1">
      <x:alignment vertical="top" wrapText="1"/>
    </x:xf>
    <x:xf numFmtId="0" fontId="6" fillId="0" borderId="7" xfId="0" applyNumberFormat="1" applyFont="1" applyFill="1" applyBorder="1" applyAlignment="1">
      <x:alignment vertical="top" wrapText="1"/>
    </x:xf>
    <x:xf numFmtId="0" fontId="6" fillId="0" borderId="10" xfId="0" applyNumberFormat="1" applyFont="1" applyFill="1" applyBorder="1" applyAlignment="1">
      <x:alignment vertical="top" wrapText="1"/>
    </x:xf>
    <x:xf numFmtId="0" fontId="6" fillId="0" borderId="13"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0" fontId="0" fillId="0" borderId="3" xfId="0" applyNumberFormat="1" applyFont="1" applyFill="1" applyBorder="1" applyAlignment="1">
      <x:alignment horizontal="center" vertical="top" wrapText="1"/>
    </x:xf>
    <x:xf numFmtId="0" fontId="0" fillId="0" borderId="0" xfId="0" applyNumberFormat="1" applyFont="1" applyFill="1" applyBorder="1" applyAlignment="1">
      <x:alignment horizontal="center" vertical="top" wrapText="1"/>
    </x:xf>
    <x:xf numFmtId="0" fontId="0" fillId="0" borderId="8" xfId="0" applyNumberFormat="1" applyFont="1" applyFill="1" applyBorder="1" applyAlignment="1">
      <x:alignment horizontal="center" vertical="top" wrapText="1"/>
    </x:xf>
    <x:xf numFmtId="0" fontId="0" fillId="0" borderId="11"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0" fillId="0" borderId="16" xfId="0" applyNumberFormat="1" applyFont="1" applyFill="1" applyBorder="1" applyAlignment="1">
      <x:alignment horizontal="center" vertical="top" wrapText="1"/>
    </x:xf>
    <x:xf numFmtId="0" fontId="4" fillId="0" borderId="2" xfId="0" applyNumberFormat="1" applyFont="1" applyFill="1" applyBorder="1" applyAlignment="1">
      <x:alignment horizontal="center" vertical="top" wrapText="1"/>
    </x:xf>
    <x:xf numFmtId="0" fontId="4" fillId="0" borderId="5" xfId="0" applyNumberFormat="1" applyFont="1" applyFill="1" applyBorder="1" applyAlignment="1">
      <x:alignment horizontal="center" vertical="top" wrapText="1"/>
    </x:xf>
    <x:xf numFmtId="0" fontId="4" fillId="0" borderId="7" xfId="0" applyNumberFormat="1" applyFont="1" applyFill="1" applyBorder="1" applyAlignment="1">
      <x:alignment horizontal="center" vertical="top" wrapText="1"/>
    </x:xf>
    <x:xf numFmtId="0" fontId="4" fillId="0" borderId="10" xfId="0" applyNumberFormat="1" applyFont="1" applyFill="1" applyBorder="1" applyAlignment="1">
      <x:alignment horizontal="center" vertical="top" wrapText="1"/>
    </x:xf>
    <x:xf numFmtId="0" fontId="4" fillId="0" borderId="13" xfId="0" applyNumberFormat="1" applyFont="1" applyFill="1" applyBorder="1" applyAlignment="1">
      <x:alignment horizontal="center" vertical="top" wrapText="1"/>
    </x:xf>
    <x:xf numFmtId="0" fontId="4" fillId="0" borderId="15" xfId="0" applyNumberFormat="1" applyFont="1" applyFill="1" applyBorder="1" applyAlignment="1">
      <x:alignment horizontal="center" vertical="top" wrapText="1"/>
    </x:xf>
    <x:xf numFmtId="0" fontId="0" fillId="0" borderId="2" xfId="0" applyNumberFormat="1" applyFont="1" applyFill="1" applyBorder="1" applyAlignment="1">
      <x:alignment vertical="center" wrapText="1"/>
    </x:xf>
    <x:xf numFmtId="0" fontId="0" fillId="0" borderId="3" xfId="0" applyNumberFormat="1" applyFont="1" applyFill="1" applyBorder="1" applyAlignment="1">
      <x:alignment vertical="center" wrapText="1"/>
    </x:xf>
    <x:xf numFmtId="0" fontId="0" fillId="0" borderId="4"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0" fillId="0" borderId="10" xfId="0" applyNumberFormat="1" applyFont="1" applyFill="1" applyBorder="1" applyAlignment="1">
      <x:alignment vertical="center" wrapText="1"/>
    </x:xf>
    <x:xf numFmtId="0" fontId="0" fillId="0" borderId="11" xfId="0" applyNumberFormat="1" applyFont="1" applyFill="1" applyBorder="1" applyAlignment="1">
      <x:alignment vertical="center" wrapText="1"/>
    </x:xf>
    <x:xf numFmtId="0" fontId="0" fillId="0" borderId="12" xfId="0" applyNumberFormat="1" applyFont="1" applyFill="1" applyBorder="1" applyAlignment="1">
      <x:alignment vertical="center" wrapText="1"/>
    </x:xf>
    <x:xf numFmtId="0" fontId="0" fillId="0" borderId="13"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0" fillId="0" borderId="14" xfId="0" applyNumberFormat="1" applyFont="1" applyFill="1" applyBorder="1" applyAlignment="1">
      <x:alignment vertical="center" wrapText="1"/>
    </x:xf>
    <x:xf numFmtId="0" fontId="0" fillId="0" borderId="15" xfId="0" applyNumberFormat="1" applyFont="1" applyFill="1" applyBorder="1" applyAlignment="1">
      <x:alignment vertical="center" wrapText="1"/>
    </x:xf>
    <x:xf numFmtId="0" fontId="0" fillId="0" borderId="16" xfId="0" applyNumberFormat="1" applyFont="1" applyFill="1" applyBorder="1" applyAlignment="1">
      <x:alignment vertical="center" wrapText="1"/>
    </x:xf>
    <x:xf numFmtId="0" fontId="0" fillId="0" borderId="17" xfId="0" applyNumberFormat="1" applyFont="1" applyFill="1" applyBorder="1" applyAlignment="1">
      <x:alignment vertical="center" wrapText="1"/>
    </x:xf>
    <x:xf numFmtId="0" fontId="6" fillId="0" borderId="2" xfId="0" applyNumberFormat="1" applyFont="1" applyFill="1" applyBorder="1" applyAlignment="1">
      <x:alignment vertical="center" wrapText="1"/>
    </x:xf>
    <x:xf numFmtId="0" fontId="6" fillId="0" borderId="5" xfId="0" applyNumberFormat="1" applyFont="1" applyFill="1" applyBorder="1" applyAlignment="1">
      <x:alignment vertical="center" wrapText="1"/>
    </x:xf>
    <x:xf numFmtId="0" fontId="6" fillId="0" borderId="7" xfId="0" applyNumberFormat="1" applyFont="1" applyFill="1" applyBorder="1" applyAlignment="1">
      <x:alignment vertical="center" wrapText="1"/>
    </x:xf>
    <x:xf numFmtId="0" fontId="6" fillId="0" borderId="10" xfId="0" applyNumberFormat="1" applyFont="1" applyFill="1" applyBorder="1" applyAlignment="1">
      <x:alignment vertical="center" wrapText="1"/>
    </x:xf>
    <x:xf numFmtId="0" fontId="6" fillId="0" borderId="13" xfId="0" applyNumberFormat="1" applyFont="1" applyFill="1" applyBorder="1" applyAlignment="1">
      <x:alignment vertical="center" wrapText="1"/>
    </x:xf>
    <x:xf numFmtId="0" fontId="6" fillId="0" borderId="15" xfId="0" applyNumberFormat="1" applyFont="1" applyFill="1" applyBorder="1" applyAlignment="1">
      <x:alignment vertical="center" wrapText="1"/>
    </x:xf>
    <x:xf numFmtId="0" fontId="0" fillId="0" borderId="3" xfId="0" applyNumberFormat="1" applyFont="1" applyFill="1" applyBorder="1" applyAlignment="1">
      <x:alignment horizontal="center" vertical="center" wrapText="1"/>
    </x:xf>
    <x:xf numFmtId="0" fontId="0" fillId="0" borderId="0" xfId="0" applyNumberFormat="1" applyFont="1" applyFill="1" applyBorder="1" applyAlignment="1">
      <x:alignment horizontal="center" vertical="center" wrapText="1"/>
    </x:xf>
    <x:xf numFmtId="0" fontId="0" fillId="0" borderId="8" xfId="0" applyNumberFormat="1" applyFont="1" applyFill="1" applyBorder="1" applyAlignment="1">
      <x:alignment horizontal="center" vertical="center" wrapText="1"/>
    </x:xf>
    <x:xf numFmtId="0" fontId="0" fillId="0" borderId="11" xfId="0" applyNumberFormat="1" applyFont="1" applyFill="1" applyBorder="1" applyAlignment="1">
      <x:alignment horizontal="center" vertical="center" wrapText="1"/>
    </x:xf>
    <x:xf numFmtId="0" fontId="0" fillId="0" borderId="1" xfId="0" applyNumberFormat="1" applyFont="1" applyFill="1" applyBorder="1" applyAlignment="1">
      <x:alignment horizontal="center" vertical="center" wrapText="1"/>
    </x:xf>
    <x:xf numFmtId="0" fontId="0" fillId="0" borderId="16" xfId="0" applyNumberFormat="1" applyFont="1" applyFill="1" applyBorder="1" applyAlignment="1">
      <x:alignment horizontal="center" vertical="center" wrapText="1"/>
    </x:xf>
    <x:xf numFmtId="200" fontId="0" fillId="0" borderId="0" xfId="0" applyNumberFormat="1" applyFont="1" applyFill="1" applyBorder="1" applyAlignment="1">
      <x:alignment horizontal="center" vertical="center" wrapText="1"/>
    </x:xf>
  </x:cellXfs>
  <x:cellStyles count="1">
    <x:cellStyle name="Normal" xfId="0"/>
  </x:cellStyles>
  <x:dxfs count="3">
    <x:dxf>
      <x:font>
        <x:b/>
        <x:color rgb="FF166534"/>
      </x:font>
      <x:fill>
        <x:patternFill patternType="solid">
          <x:bgColor rgb="FFDCFCE7"/>
        </x:patternFill>
      </x:fill>
    </x:dxf>
    <x:dxf>
      <x:font>
        <x:b/>
        <x:color rgb="FF166534"/>
      </x:font>
      <x:fill>
        <x:patternFill patternType="solid">
          <x:bgColor rgb="FFDCFCE7"/>
        </x:patternFill>
      </x:fill>
    </x:dxf>
    <x:dxf>
      <x:font>
        <x:b/>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59b2c04bd2649b5" /><Relationship Type="http://schemas.openxmlformats.org/officeDocument/2006/relationships/theme" Target="/xl/theme/theme1.xml" Id="R1e91cf40813e461c" /><Relationship Type="http://schemas.openxmlformats.org/officeDocument/2006/relationships/sharedStrings" Target="/xl/sharedStrings.xml" Id="R67b4f4b52ef44241" /><Relationship Type="http://schemas.openxmlformats.org/officeDocument/2006/relationships/worksheet" Target="/xl/worksheets/sheet1.xml" Id="Rf7229458f8404d9c" /><Relationship Type="http://schemas.openxmlformats.org/officeDocument/2006/relationships/worksheet" Target="/xl/worksheets/sheet2.xml" Id="R34d58612d48147b9" /><Relationship Type="http://schemas.openxmlformats.org/officeDocument/2006/relationships/worksheet" Target="/xl/worksheets/sheet3.xml" Id="R9e53d2f71b2e4c75" /><Relationship Type="http://schemas.openxmlformats.org/officeDocument/2006/relationships/worksheet" Target="/xl/worksheets/sheet4.xml" Id="Rdd2b3c7d8bc44631" /><Relationship Type="http://schemas.openxmlformats.org/officeDocument/2006/relationships/worksheet" Target="/xl/worksheets/sheet5.xml" Id="Ra3716f5cfd984057" /></Relationships>
</file>

<file path=xl/tables/table1.xml><?xml version="1.0" encoding="utf-8"?>
<x:table xmlns:x="http://schemas.openxmlformats.org/spreadsheetml/2006/main" id="1" name="PersonaImportTable" displayName="PersonaImportTable" ref="A3:G23" headerRowCount="1">
  <x:tableColumns count="7">
    <x:tableColumn id="1" name="title"/>
    <x:tableColumn id="2" name="category"/>
    <x:tableColumn id="3" name="body"/>
    <x:tableColumn id="4" name="tags"/>
    <x:tableColumn id="5" name="applicable_scene"/>
    <x:tableColumn id="6" name="source_note"/>
    <x:tableColumn id="7" name="is_home_recommended"/>
  </x:tableColumns>
  <x:tableStyleInfo name="TableStyleMedium2" showRowStripes="1"/>
</x:table>
</file>

<file path=xl/tables/table2.xml><?xml version="1.0" encoding="utf-8"?>
<x:table xmlns:x="http://schemas.openxmlformats.org/spreadsheetml/2006/main" id="2" name="PersonaSourceTable" displayName="PersonaSourceTable" ref="A3:G32" headerRowCount="1">
  <x:tableColumns count="7">
    <x:tableColumn id="1" name="编号"/>
    <x:tableColumn id="2" name="作者 / 年份"/>
    <x:tableColumn id="3" name="完整题名"/>
    <x:tableColumn id="4" name="期刊 / 来源"/>
    <x:tableColumn id="5" name="证据类型"/>
    <x:tableColumn id="6" name="主要支持主题"/>
    <x:tableColumn id="7" name="DOI / 稳定链接"/>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30c3c5ad5284fe0" /></Relationships>
</file>

<file path=xl/worksheets/_rels/sheet3.xml.rels>&#65279;<?xml version="1.0" encoding="utf-8"?><Relationships xmlns="http://schemas.openxmlformats.org/package/2006/relationships"><Relationship Type="http://schemas.openxmlformats.org/officeDocument/2006/relationships/table" Target="/xl/tables/table2.xml" Id="R192de2a881fd480b" /></Relationships>
</file>

<file path=xl/worksheets/sheet1.xml><?xml version="1.0" encoding="utf-8"?>
<x:worksheet xmlns:x="http://schemas.openxmlformats.org/spreadsheetml/2006/main">
  <x:sheetFormatPr defaultRowHeight="15"/>
  <x:cols>
    <x:col min="1" max="1" width="30" hidden="0" customWidth="1"/>
    <x:col min="2" max="2" width="16" hidden="0" customWidth="1"/>
    <x:col min="3" max="3" width="76" hidden="0" customWidth="1"/>
    <x:col min="4" max="4" width="27" hidden="0" customWidth="1"/>
    <x:col min="5" max="5" width="43" hidden="0" customWidth="1"/>
    <x:col min="6" max="6" width="52" hidden="0" customWidth="1"/>
    <x:col min="7" max="7" width="18" hidden="0" customWidth="1"/>
  </x:cols>
  <x:sheetData>
    <x:row r="1" ht="32" customHeight="1">
      <x:c r="A1" s="5" t="str">
        <x:v>社交媒体焦虑知识库｜人设图鉴</x:v>
      </x:c>
      <x:c r="B1" s="5"/>
      <x:c r="C1" s="5"/>
      <x:c r="D1" s="5"/>
      <x:c r="E1" s="5"/>
      <x:c r="F1" s="5"/>
      <x:c r="G1" s="5"/>
    </x:row>
    <x:row r="2" ht="28" customHeight="1">
      <x:c r="A2" s="13" t="str">
        <x:v>共 20 条；正文为 Markdown；category 固定为“人设图鉴”；首页推荐 4 条（20%）。</x:v>
      </x:c>
      <x:c r="B2" s="13"/>
      <x:c r="C2" s="13"/>
      <x:c r="D2" s="13"/>
      <x:c r="E2" s="13"/>
      <x:c r="F2" s="13"/>
      <x:c r="G2" s="13"/>
    </x:row>
    <x:row r="3" ht="32" customHeight="1">
      <x:c r="A3" s="21" t="str">
        <x:v>title</x:v>
      </x:c>
      <x:c r="B3" s="21" t="str">
        <x:v>category</x:v>
      </x:c>
      <x:c r="C3" s="21" t="str">
        <x:v>body</x:v>
      </x:c>
      <x:c r="D3" s="21" t="str">
        <x:v>tags</x:v>
      </x:c>
      <x:c r="E3" s="21" t="str">
        <x:v>applicable_scene</x:v>
      </x:c>
      <x:c r="F3" s="21" t="str">
        <x:v>source_note</x:v>
      </x:c>
      <x:c r="G3" s="21" t="str">
        <x:v>is_home_recommended</x:v>
      </x:c>
    </x:row>
    <x:row r="4" ht="118" customHeight="1">
      <x:c r="A4" s="80" t="str">
        <x:v>精致生活与高光日常人设</x:v>
      </x:c>
      <x:c r="B4" s="86" t="str">
        <x:v>人设图鉴</x:v>
      </x:c>
      <x:c r="C4" s="45" t="str">
        <x:v>## 这种人设是什么
这类人设把日常生活呈现为稳定、整洁、审美统一且值得记录的连续画面。常见内容包括布置讲究的房间、精心搭配的餐食、氛围感通勤和被认真安排的周末。它可能是真实生活的一部分，但并不等于发布者每天都处在同样的状态。
## 它通常展示什么
画面往往集中在适合公开、容易获得认可的时刻，例如完成布置后的房间、光线最好的早餐、已经解决问题后的复盘。不同日期和场景经过持续筛选后，会形成一种“生活一直很顺”的整体印象。
## 它容易省略什么
准备、返工、家务、经济成本、情绪低谷和普通到不值得拍摄的时段通常较少出现。被省略并不一定是欺骗，而是社交媒体自我呈现天然会优先选择可展示内容。
## 为什么看起来很有说服力
稳定的视觉风格和连续更新会让零散高光看起来像完整生活。观看者还容易把多个账号的优点叠加成一个不存在的“标准生活”，再与自己的全部日常比较。
**观看时需要区分：**
- 精致画面可以真实，但通常不是生活的平均切片
- 审美一致性反映内容选择，也可能反映时间、金钱与劳动投入
- 不应仅凭公开动态判断一个人的幸福程度
## 需要注意
研究表明，社交媒体自我呈现既可能包含真实表达，也可能带有选择性增强；具体程度因人、平台和受众而异。</x:v>
      </x:c>
      <x:c r="D4" s="45" t="str">
        <x:v>精致生活,高光展示,选择呈现,生活方式</x:v>
      </x:c>
      <x:c r="E4" s="45" t="str">
        <x:v>连续刷到整洁、从容、充满仪式感的日常后，开始觉得自己的普通生活粗糙而失败时。</x:v>
      </x:c>
      <x:c r="F4" s="45" t="str">
        <x:v>参考：Fox与Vendemia，2016，照片中的选择性自我呈现；Chou与Edge，2012，社交媒体与他人生活感知。</x:v>
      </x:c>
      <x:c r="G4" s="92" t="str">
        <x:v>是</x:v>
      </x:c>
    </x:row>
    <x:row r="5" ht="118" customHeight="1">
      <x:c r="A5" s="81" t="str">
        <x:v>松弛感与“不费力”人设</x:v>
      </x:c>
      <x:c r="B5" s="87" t="str">
        <x:v>人设图鉴</x:v>
      </x:c>
      <x:c r="C5" s="48" t="str">
        <x:v>## 这种人设是什么
松弛感人设强调自然、从容、不急于证明自己，好像工作、外貌、社交和生活品位都能毫不费力地维持。它与传统的炫耀不同，吸引力恰恰来自“看起来没有在经营”。
## 它通常展示什么
内容常呈现随手拍却构图良好的照片、轻描淡写的成功、不过度解释的消费选择，以及在繁忙生活中仍然保留休闲与审美的状态。
## 它容易省略什么
形成这种效果所需的筛选、拍摄、经济条件、时间安排和情绪管理通常不会进入画面。发布者也可能确实较为从容，但观看者无法从结果反推出过程毫无压力。
## 为什么看起来很有说服力
人们往往把明显努力与表演联系起来，而把自然感与真实性联系起来。持续稳定的“随意”风格会削弱观看者对策划程度的感知，使生活优势看起来像性格本身。
**观看时需要区分：**
- 从容可能是真实特质，也可能只是被选择出来的公开侧面
- 看起来不费力，不代表没有准备、资源或他人协助
- 松弛感不是衡量心理健康和生活能力的统一标准
## 需要注意
人设图鉴的目标不是揭穿谁在表演，而是提醒观看者：任何稳定的公开形象都可能经过选择。</x:v>
      </x:c>
      <x:c r="D5" s="48" t="str">
        <x:v>松弛感,自然感,生活方式,自我呈现</x:v>
      </x:c>
      <x:c r="E5" s="48" t="str">
        <x:v>看到别人工作顺利、外形精致又从不显得紧张，怀疑自己太用力、太狼狈时。</x:v>
      </x:c>
      <x:c r="F5" s="48" t="str">
        <x:v>参考：Audrezet等，2020，网红真实性管理；Zheng等，2020，社交媒体中的自我提升与自我验证。</x:v>
      </x:c>
      <x:c r="G5" s="93" t="str">
        <x:v>否</x:v>
      </x:c>
    </x:row>
    <x:row r="6" ht="118" customHeight="1">
      <x:c r="A6" s="81" t="str">
        <x:v>极致自律与晨间仪式人设</x:v>
      </x:c>
      <x:c r="B6" s="87" t="str">
        <x:v>人设图鉴</x:v>
      </x:c>
      <x:c r="C6" s="48" t="str">
        <x:v>## 这种人设是什么
这类人设以规律、克制和持续执行为核心，常用早起、运动、阅读、饮食管理和时间规划证明个人掌控力。它可能提供动力，但也会把复杂生活压缩为一条整齐的习惯链。
## 它通常展示什么
镜头常记录已经完成的打卡、整洁的工具、明确的时间表和状态良好的身体。内容强调重复性和连续性，使观众感到这些行为每天都能稳定发生。
## 它容易省略什么
睡眠不足、工作安排、失败天数、恢复时间、家庭支持和用于维护习惯的成本较少被展示。偶尔中断也可能不被发布，因此公开记录通常比真实执行更连贯。
## 为什么看起来很有说服力
数字打卡与连续更新会把行为转化成清晰证据；固定机位和相似流程进一步强化“稳定人格”的印象。观看者容易把内容生产本身误认为普通生活的自然记录。
**观看时需要区分：**
- 习惯记录可以激励人，但不能证明发布者从不疲惫或拖延
- 能够长期自律往往与环境、资源和工作性质有关
- 适合他人的完整流程不等于适合所有人的健康标准
## 需要注意
本条只分析人设结构；具体的时间管理方法和使用边界应放入行动建议或训练分类。</x:v>
      </x:c>
      <x:c r="D6" s="48" t="str">
        <x:v>极致自律,晨间仪式,打卡,掌控感</x:v>
      </x:c>
      <x:c r="E6" s="48" t="str">
        <x:v>刷到完整早起、运动、学习流程后，把自己偶尔拖延解释成缺乏意志力时。</x:v>
      </x:c>
      <x:c r="F6" s="48" t="str">
        <x:v>参考：Duffy与Hund，2015，社交媒体自我品牌与“拥有一切”叙事；Hjetland等，2022，自我呈现关注。</x:v>
      </x:c>
      <x:c r="G6" s="93" t="str">
        <x:v>否</x:v>
      </x:c>
    </x:row>
    <x:row r="7" ht="118" customHeight="1">
      <x:c r="A7" s="81" t="str">
        <x:v>学霸与高效学习人设</x:v>
      </x:c>
      <x:c r="B7" s="87" t="str">
        <x:v>人设图鉴</x:v>
      </x:c>
      <x:c r="C7" s="48" t="str">
        <x:v>## 这种人设是什么
学霸人设通过成绩、学习时长、笔记、书桌和备考流程，建立“聪明、勤奋且始终高效”的形象。Studygram和“Study With Me”内容既可能提供陪伴与学习灵感，也可能使学习过程更适合被观看。
## 它通常展示什么
常见展示包括整洁笔记、连续计时、录取结果、阶段性成果和高度结构化的学习环境。知识理解、学习策略和可视化进度被组合成容易模仿的模板。
## 它容易省略什么
走神、低效尝试、对知识的误解、成绩波动以及不适合拍摄的混乱过程不容易进入内容。学习直播也不等于主播在每个镜头外时段都保持同样专注。
## 为什么看起来很有说服力
可见的计时器、任务清单和书桌布置让抽象的努力变得具体。观众容易把能被拍摄的“学习样子”与真实掌握程度、长期成绩完全等同。
**观看时需要区分：**
- 学习内容可以提供陪伴和可控的同伴压力
- 漂亮笔记和长时间直播不能单独证明学习质量
- 发布者的专业、考试制度和现实条件可能与观看者不同
## 需要注意
这类内容既可能有正面价值，也可能引发比较；不能统一判断为虚假或有害。</x:v>
      </x:c>
      <x:c r="D7" s="48" t="str">
        <x:v>学霸人设,Studygram,学习打卡,效率</x:v>
      </x:c>
      <x:c r="E7" s="48" t="str">
        <x:v>看到别人长时间学习、笔记精美和一次上岸后，觉得自己的学习过程不够像“真正努力”时。</x:v>
      </x:c>
      <x:c r="F7" s="48" t="str">
        <x:v>参考：Izquierdo-Iranzo与Gallardo-Echenique，2020；Lee等，2021；Lussier等，2023。</x:v>
      </x:c>
      <x:c r="G7" s="93" t="str">
        <x:v>是</x:v>
      </x:c>
    </x:row>
    <x:row r="8" ht="118" customHeight="1">
      <x:c r="A8" s="81" t="str">
        <x:v>职场精英与持续上升人设</x:v>
      </x:c>
      <x:c r="B8" s="87" t="str">
        <x:v>人设图鉴</x:v>
      </x:c>
      <x:c r="C8" s="48" t="str">
        <x:v>## 这种人设是什么
职场精英人设把个人职业身份组织成清晰的成长故事：能力不断提升、项目不断扩大、机会持续出现。它在职业平台和普通社交媒体上都很常见，核心是证明专业性、可靠性和发展潜力。
## 它通常展示什么
内容通常聚焦职位变化、项目成果、公开演讲、行业活动、证书和工作方法。失败的申请、普通重复劳动和无法公开的团队贡献较少出现。
## 它容易省略什么
职业成果往往由团队、行业周期、组织资源和机会共同形成，但个人主页倾向于把复杂过程压缩为个人能力叙事。求职空窗、迷茫和工作中的低控制感也不适合公开展示。
## 为什么看起来很有说服力
平台界面鼓励填写技能、经历和背书，使职业身份变成可持续更新的履历。专业术语和第三方认可还能增强可信度，让观看者把公开档案当成完整能力评估。
**观看时需要区分：**
- 职业主页的功能本来就是突出可验证成果
- 持续发布成果不代表现实工作没有挫折和重复
- 职位、收入与个人价值不是同一指标
## 需要注意
对职业平台内容应保持信息工具视角，而不是把每一份公开履历当作同龄人的统一进度线。</x:v>
      </x:c>
      <x:c r="D8" s="48" t="str">
        <x:v>职场精英,职业身份,个人品牌,LinkedIn</x:v>
      </x:c>
      <x:c r="E8" s="48" t="str">
        <x:v>求职或工作受挫时，看到别人持续晋升、获奖和输出专业观点，觉得自己已被行业淘汰时。</x:v>
      </x:c>
      <x:c r="F8" s="48" t="str">
        <x:v>参考：van Dijck，2013，Facebook与LinkedIn的身份呈现；Bar-Ilan等，2015，学术职业自我呈现。</x:v>
      </x:c>
      <x:c r="G8" s="93" t="str">
        <x:v>否</x:v>
      </x:c>
    </x:row>
    <x:row r="9" ht="118" customHeight="1">
      <x:c r="A9" s="81" t="str">
        <x:v>创业成功与自由职业人设</x:v>
      </x:c>
      <x:c r="B9" s="87" t="str">
        <x:v>人设图鉴</x:v>
      </x:c>
      <x:c r="C9" s="48" t="str">
        <x:v>## 这种人设是什么
创业与自由职业人设强调自主、创造力和摆脱传统组织约束，常把工作呈现为个人选择、热爱与生活方式的统一。它既可能记录真实职业路径，也容易将不稳定劳动包装成连贯的成长故事。
## 它通常展示什么
常见内容包括项目启动、客户反馈、收入节点、灵活办公、个人理念和“从零开始”的回顾。叙事通常突出个人意志、勇气和快速迭代。
## 它容易省略什么
现金流波动、失败项目、无报酬劳动、平台依赖、家庭支持和长期积累较少进入公开故事。成功发生后，早期经历也可能被重新组织成看似必然的路线。
## 为什么看起来很有说服力
个人品牌叙事需要把复杂职业经历讲成容易理解的角色：有愿景、敢行动、能转化。连续发布会让尚在变化的职业状态看起来已经稳定。
**观看时需要区分：**
- 自由度和不确定性可以同时存在
- 个人成功可能包含团队、资本、运气与既有资源
- 公开复盘常是事后整理，不是可复制的完整路线
## 需要注意
不要把创业人设简单视为吹嘘，也不要把它直接当作职业选择的风险说明书。</x:v>
      </x:c>
      <x:c r="D9" s="48" t="str">
        <x:v>创业人设,自由职业,个人品牌,成功叙事</x:v>
      </x:c>
      <x:c r="E9" s="48" t="str">
        <x:v>看到别人辞职创业、远程工作并快速变现后，觉得稳定工作等于失败或缺乏勇气时。</x:v>
      </x:c>
      <x:c r="F9" s="48" t="str">
        <x:v>参考：Duffy与Hund，2015，创业式自我品牌；Khamis等，2017，微名人与社交媒体网红的自我品牌。</x:v>
      </x:c>
      <x:c r="G9" s="93" t="str">
        <x:v>否</x:v>
      </x:c>
    </x:row>
    <x:row r="10" ht="118" customHeight="1">
      <x:c r="A10" s="81" t="str">
        <x:v>财富自由与高消费品位人设</x:v>
      </x:c>
      <x:c r="B10" s="87" t="str">
        <x:v>人设图鉴</x:v>
      </x:c>
      <x:c r="C10" s="48" t="str">
        <x:v>## 这种人设是什么
这类人设通过消费选择、居住环境、旅行和品牌偏好，传递财富、品位和生活掌控感。重点不一定是直接展示价格，也可能通过稀缺体验、低调品牌和“懂行”细节表达社会位置。
## 它通常展示什么
内容常选择高辨识度商品、精致空间、稀缺服务或消费后的从容体验。产品被放进日常叙事后，看起来不只是购买物，而是身份、审美和生活能力的证据。
## 它容易省略什么
收入来源、负债、合作置换、租借、赠品、家庭资源和为消费付出的机会成本可能不会被说明。即便消费完全真实，也无法据此推断长期财务状况。
## 为什么看起来很有说服力
社交媒体使消费具有公开比较功能。研究发现，自我呈现、社会比较和炫耀性消费倾向之间可能相互强化；豪华体验也容易通过羡慕影响购买意向。
**观看时需要区分：**
- 拥有某件商品不等于拥有稳定财富
- 品牌和场景能传递身份信号，但不代表完整财务结构
- 商业合作与个人消费应尽量分开理解
## 需要注意
本条不判断具体消费是否合理，只帮助识别“消费被用来表达身份”的人设结构。</x:v>
      </x:c>
      <x:c r="D10" s="48" t="str">
        <x:v>财富人设,消费品位,身份信号,炫耀消费</x:v>
      </x:c>
      <x:c r="E10" s="48" t="str">
        <x:v>连续看到高消费、稀缺体验和“随手买”的内容后，开始用购买力判断自己是否体面时。</x:v>
      </x:c>
      <x:c r="F10" s="48" t="str">
        <x:v>参考：Lu等，2024，微信自我呈现与炫耀性消费；Liu等，2024，社交分享、羡慕与消费意向。</x:v>
      </x:c>
      <x:c r="G10" s="93" t="str">
        <x:v>否</x:v>
      </x:c>
    </x:row>
    <x:row r="11" ht="118" customHeight="1">
      <x:c r="A11" s="81" t="str">
        <x:v>旅行达人与数字游牧人设</x:v>
      </x:c>
      <x:c r="B11" s="87" t="str">
        <x:v>人设图鉴</x:v>
      </x:c>
      <x:c r="C11" s="48" t="str">
        <x:v>## 这种人设是什么
旅行达人或数字游牧人设把移动、自由和世界经验作为核心身份。它强调地点切换、文化体验和自主安排，让工作与旅行看起来能够自然融合。
## 它通常展示什么
常见展示包括景观、特色住宿、当地饮食、远程办公画面以及“像当地人一样生活”的叙事。地点连续变化会强化生活丰富、时间自由和见识广阔的形象。
## 它容易省略什么
交通疲劳、签证限制、预算、工作时差、安全问题、拍摄等待和重复性行政事务较少成为主要内容。旅行者的停留时间、合作关系和工作稳定性也未必能从照片判断。
## 为什么看起来很有说服力
陌生地点本身具有视觉新鲜感，连续更新还能把短暂旅程组织成长期身份。旅游网红研究指出，旅行身份需要持续建构与维护，而不是地点照片的简单集合。
**观看时需要区分：**
- 旅行体验可以真实丰富，也可能同时包含大量不可见劳动
- 短期度假、内容创作和长期游牧是不同生活方式
- 景点密度不能直接衡量日常自由度和幸福感
## 需要注意
不要因为看到自由移动的结果，就假定对方没有经济、行政和职业约束。</x:v>
      </x:c>
      <x:c r="D11" s="48" t="str">
        <x:v>旅行达人,数字游牧,自由生活,身份建构</x:v>
      </x:c>
      <x:c r="E11" s="48" t="str">
        <x:v>刷到持续旅行和远程办公内容后，觉得固定城市、固定作息的生活缺乏价值时。</x:v>
      </x:c>
      <x:c r="F11" s="48" t="str">
        <x:v>参考：Li等，2024，旅行网红的社会身份建构；Audrezet等，2020，网红真实性管理。</x:v>
      </x:c>
      <x:c r="G11" s="93" t="str">
        <x:v>否</x:v>
      </x:c>
    </x:row>
    <x:row r="12" ht="118" customHeight="1">
      <x:c r="A12" s="81" t="str">
        <x:v>健身塑形与健康自律人设</x:v>
      </x:c>
      <x:c r="B12" s="87" t="str">
        <x:v>人设图鉴</x:v>
      </x:c>
      <x:c r="C12" s="48" t="str">
        <x:v>## 这种人设是什么
健身人设以身体变化、运动纪律和健康知识建立可信度，常把可见体型与自我管理能力联系起来。部分内容确实能提供运动信息和鼓励，但“健康”与“符合某种外形”经常被混在一起。
## 它通常展示什么
内容通常展示训练片段、饮食、体重或围度变化、紧致体型和前后对比。镜头偏好容易识别的身体成果，而不是心肺、睡眠、力量恢复等难以视觉化的健康指标。
## 它容易省略什么
基因、拍摄状态、伤病、恢复期、专业指导、饮食压力和状态波动较少出现。单次照片也无法说明长期健康、饮食关系或训练是否适合他人。
## 为什么看起来很有说服力
Fitspiration把身体目标、励志语言与日常记录结合，使外貌理想看起来像纯粹的健康成果。系统综述显示，这类内容可能同时具有激励作用与身体比较风险。
**观看时需要区分：**
- 有运动习惯不等于所有建议都具备专业依据
- 视觉上的精瘦或强壮不等于完整健康
- 前后对比省略了时间、条件和个体差异
## 需要注意
看到健身内容时，可以区分“记录个人经验”“提供一般知识”和“给出医疗营养建议”三种角色。</x:v>
      </x:c>
      <x:c r="D12" s="48" t="str">
        <x:v>健身人设,健身激励,身体塑形,健康生活</x:v>
      </x:c>
      <x:c r="E12" s="48" t="str">
        <x:v>看到健身博主的体型和训练流程后，把自己的身体状态直接理解为不自律时。</x:v>
      </x:c>
      <x:c r="F12" s="48" t="str">
        <x:v>参考：Jerónimo与Carraça，2022，Fitspiration系统综述；Tiggemann与Zaccardo，2015；Carrotte等，2017。</x:v>
      </x:c>
      <x:c r="G12" s="93" t="str">
        <x:v>否</x:v>
      </x:c>
    </x:row>
    <x:row r="13" ht="118" customHeight="1">
      <x:c r="A13" s="81" t="str">
        <x:v>高颜值与精致外貌人设</x:v>
      </x:c>
      <x:c r="B13" s="87" t="str">
        <x:v>人设图鉴</x:v>
      </x:c>
      <x:c r="C13" s="48" t="str">
        <x:v>## 这种人设是什么
高颜值人设以面部、妆容、穿搭和镜头表现力为核心，持续建立“随时都很好看”的印象。外貌可以是真实优势，但公开内容通常是特定角度、时段和筛选标准下的表现。
## 它通常展示什么
常见展示包括自拍、妆前妆后、穿搭、护肤和被他人拍摄的生活照。稳定的妆容、表情和构图会让个人外貌形成明确而可识别的品牌。
## 它容易省略什么
皮肤状态波动、不适合上镜的角度、拍摄次数、妆造时间、数字编辑和普通生活中的样子可能不会被同步展示。即使没有修图，选择哪张照片发布本身也是呈现行为。
## 为什么看起来很有说服力
照片内容容易被快速比较，点赞和评论还会为某种外貌提供社会认可线索。视觉平台上的选择性自拍与身体比较研究表明，观看者容易把筛选后的图像当成稳定现实。
**观看时需要区分：**
- 精修与真实并不是非黑即白，照片可同时包含真实特征与选择加工
- 好看是特定审美和场景中的评价，不是完整个人价值
- 账号风格稳定不代表本人每时每刻都保持同样外貌
## 需要注意
本条不讨论具体修图方法；图像处理与平台审美机制应放在“套路拆解”。</x:v>
      </x:c>
      <x:c r="D13" s="48" t="str">
        <x:v>高颜值,自拍,外貌呈现,审美比较</x:v>
      </x:c>
      <x:c r="E13" s="48" t="str">
        <x:v>长时间浏览精致自拍和穿搭账号后，觉得普通光线下的自己“不像一个正常人”时。</x:v>
      </x:c>
      <x:c r="F13" s="48" t="str">
        <x:v>参考：Fox与Vendemia，2016；Vandenbosch等，2022，社交媒体与身体意象综述。</x:v>
      </x:c>
      <x:c r="G13" s="93" t="str">
        <x:v>否</x:v>
      </x:c>
    </x:row>
    <x:row r="14" ht="118" customHeight="1">
      <x:c r="A14" s="81" t="str">
        <x:v>完美伴侣与甜蜜关系人设</x:v>
      </x:c>
      <x:c r="B14" s="87" t="str">
        <x:v>人设图鉴</x:v>
      </x:c>
      <x:c r="C14" s="48" t="str">
        <x:v>## 这种人设是什么
完美关系人设把亲密关系呈现为稳定支持、浪漫投入和高度默契。纪念日、礼物、共同旅行和公开互动被组织成持续的关系证明，使旁观者容易把可见浪漫当作整体质量。
## 它通常展示什么
内容通常展示值得纪念的节点、伴侣的体贴行为、共同爱好和冲突解决后的结果。关系中的公开确认也可能帮助双方表达承诺和归属。
## 它容易省略什么
日常协商、价值冲突、沉默时段、家务分配和不便公开的关系边界通常不会出现。很少发布伴侣并不等于关系疏远，频繁发布也不能证明不存在问题。
## 为什么看起来很有说服力
人们倾向于通过有限线索推断他人生活。社交媒体上的积极自我呈现会让观看者更容易认为他人拥有更好的生活；关系内容还会借助双方互动增强真实性。
**观看时需要区分：**
- 公开浪漫是关系的一部分，不是完整质量检测
- 表达方式因人而异，低调不等于缺爱
- 一段关系是否健康，需要看线下尊重、沟通和安全，而不是动态密度
## 需要注意
不要将所有情侣内容都解释为表演，也不要用它作为要求自己或伴侣复制同款表达的依据。</x:v>
      </x:c>
      <x:c r="D14" s="48" t="str">
        <x:v>情侣人设,关系展示,甜蜜日常,公开承诺</x:v>
      </x:c>
      <x:c r="E14" s="48" t="str">
        <x:v>看到他人频繁晒礼物、纪念日和旅行后，开始怀疑自己的关系不够浪漫或不够被爱时。</x:v>
      </x:c>
      <x:c r="F14" s="48" t="str">
        <x:v>参考：Chou与Edge，2012，社交媒体与他人生活感知；Zheng等，2020，自我提升式呈现。</x:v>
      </x:c>
      <x:c r="G14" s="93" t="str">
        <x:v>否</x:v>
      </x:c>
    </x:row>
    <x:row r="15" ht="118" customHeight="1">
      <x:c r="A15" s="81" t="str">
        <x:v>完美父母与精致育儿人设</x:v>
      </x:c>
      <x:c r="B15" s="87" t="str">
        <x:v>人设图鉴</x:v>
      </x:c>
      <x:c r="C15" s="48" t="str">
        <x:v>## 这种人设是什么
精致育儿人设通过儿童成长、家庭秩序、教育安排和亲子互动，建立“有耐心、懂方法、家庭运行良好”的父母形象。分享可能出于记录、支持交流或职业内容，并不必然是炫耀。
## 它通常展示什么
常见内容包括营养餐、亲子阅读、整洁家居、成长里程碑和温和沟通片段。孩子的成果也会成为父母身份与养育能力的公开证据。
## 它容易省略什么
育儿冲突、照护者疲惫、家庭帮助、经济投入、孩子不愿公开的时刻以及拍摄之外的重复劳动较少出现。儿童的公开形象还涉及其隐私与未来数字身份。
## 为什么看起来很有说服力
父母分享可以获得社会支持和认同，同时也会形成比较环境。研究讨论了父母分享的动机、亲子偏好差异，以及社会比较与育儿自我效能之间的关系。
**观看时需要区分：**
- 漂亮的亲子片段不能代表每天的家庭氛围
- 孩子的发展受多种因素影响，不是父母能力排行榜
- 父母分享权与儿童隐私、同意之间可能存在张力
## 需要注意
本条不评价具体家庭的养育水平，只分析公开育儿内容为何容易形成“完美父母”印象。</x:v>
      </x:c>
      <x:c r="D15" s="48" t="str">
        <x:v>精致育儿,父母人设,亲子展示,Sharenting</x:v>
      </x:c>
      <x:c r="E15" s="48" t="str">
        <x:v>看到别人每天做辅食、阅读和高质量陪伴后，觉得自己不是合格父母或未来一定做不好时。</x:v>
      </x:c>
      <x:c r="F15" s="48" t="str">
        <x:v>参考：Moser等，2017，父母与儿童对亲子内容分享的偏好；Bayraktar等，2024，父母社交比较与育儿效能。</x:v>
      </x:c>
      <x:c r="G15" s="93" t="str">
        <x:v>否</x:v>
      </x:c>
    </x:row>
    <x:row r="16" ht="118" customHeight="1">
      <x:c r="A16" s="81" t="str">
        <x:v>知识专家与“什么都懂”人设</x:v>
      </x:c>
      <x:c r="B16" s="87" t="str">
        <x:v>人设图鉴</x:v>
      </x:c>
      <x:c r="C16" s="48" t="str">
        <x:v>## 这种人设是什么
知识专家人设通过稳定输出观点、概念和解决方案，建立专业、理性和判断可靠的形象。真正的专业传播很有价值，但平台内容常把复杂知识压缩成简洁结论，使“表达确定”容易被当成“证据充分”。
## 它通常展示什么
常见展示包括术语解释、热点点评、方法总结、书单和明确立场。账号会持续聚焦特定主题，通过统一语言风格和高频回应建立专业身份。
## 它容易省略什么
知识边界、争议、失败预测、团队协作、资料检索过程和无法回答的问题较少被展示。账号在一个领域有经验，也不自动具备相邻领域的专业资格。
## 为什么看起来很有说服力
社交媒体的可见性奖励清晰、快速和可传播的结论；个人品牌又要求持续维持一致角色。粉丝数量、镜头自信和内容质量可能相关，但不能替代资质与证据核验。
**观看时需要区分：**
- 善于表达与专业能力有关，但二者并不完全相同
- 经验分享、科普和个体诊疗建议具有不同责任边界
- 一个观点受欢迎，不等于它已获得学术共识
## 需要注意
涉及医疗、法律、金融等高风险内容时，需单独核对身份、证据和利益关系。</x:v>
      </x:c>
      <x:c r="D16" s="48" t="str">
        <x:v>知识博主,专家人设,专业身份,个人品牌</x:v>
      </x:c>
      <x:c r="E16" s="48" t="str">
        <x:v>因为某位博主表达非常确定、粉丝很多，就准备把其跨领域观点全部当成专业结论时。</x:v>
      </x:c>
      <x:c r="F16" s="48" t="str">
        <x:v>参考：Khamis等，2017，自我品牌与微名人；van Dijck，2013，平台化身份与专业自我推广。</x:v>
      </x:c>
      <x:c r="G16" s="93" t="str">
        <x:v>是</x:v>
      </x:c>
    </x:row>
    <x:row r="17" ht="118" customHeight="1">
      <x:c r="A17" s="81" t="str">
        <x:v>情绪稳定与“人间清醒”人设</x:v>
      </x:c>
      <x:c r="B17" s="87" t="str">
        <x:v>人设图鉴</x:v>
      </x:c>
      <x:c r="C17" s="48" t="str">
        <x:v>## 这种人设是什么
这类人设以理性、边界清楚和不受情绪左右为核心，常通过简洁判断、关系观点和冲突复盘，呈现“我看透了并且能控制自己”的状态。它可能来自真实经验，也可能是特定表达风格。
## 它通常展示什么
内容通常展示已经整理好的结论、明确的原则和冷静的回应，很少保留犹豫、反复、情绪爆发和需要他人安慰的过程。
## 它容易省略什么
形成清晰判断前的混乱、关系依赖、现实妥协和观点改变不容易被看见。短内容为了传播也会省略情境，使复杂关系看起来只需要一句原则就能解决。
## 为什么看起来很有说服力
确定的语言能降低不确定感，容易被理解为成熟与权威。持续发布相似判断后，账号会形成稳定角色，观看者可能把表达克制等同于内心从不波动。
**观看时需要区分：**
- 情绪稳定不是没有情绪，而是能够识别和调节情绪
- 明确边界需要结合关系、责任和现实条件
- 一句话原则适合传播，但未必适合所有具体处境
## 需要注意
不要把自己需要安慰、犹豫或改变主意理解为“不够清醒”。</x:v>
      </x:c>
      <x:c r="D17" s="48" t="str">
        <x:v>人间清醒,情绪稳定,边界感,理性人设</x:v>
      </x:c>
      <x:c r="E17" s="48" t="str">
        <x:v>看到大量果断关系观点后，因自己仍然难过、依赖或犹豫而感到羞耻时。</x:v>
      </x:c>
      <x:c r="F17" s="48" t="str">
        <x:v>参考：Bailey等，2020，真实自我表达与幸福感；Hjetland等，2022，社交媒体自我呈现差异。</x:v>
      </x:c>
      <x:c r="G17" s="93" t="str">
        <x:v>否</x:v>
      </x:c>
    </x:row>
    <x:row r="18" ht="118" customHeight="1">
      <x:c r="A18" s="81" t="str">
        <x:v>极简主义与高级品位人设</x:v>
      </x:c>
      <x:c r="B18" s="87" t="str">
        <x:v>人设图鉴</x:v>
      </x:c>
      <x:c r="C18" s="48" t="str">
        <x:v>## 这种人设是什么
极简主义人设通过物品少、空间整洁和选择克制，传递自我掌控、审美成熟和不被消费支配的形象。它可能源于真实价值观，但极简本身也能成为需要购买和维护的消费风格。
## 它通常展示什么
常见内容包括留白空间、统一色调、少量高品质物品、整理前后对比和“只留下真正需要的东西”的叙事。
## 它容易省略什么
储物空间、清洁劳动、替换成本、被移出镜头的物品和家庭成员差异不容易出现。高价格的“少而精”也可能依赖较强购买力。
## 为什么看起来很有说服力
整洁画面提供强烈秩序感，少量物品又容易被解释为自律和品位。与直接展示奢侈品相比，克制消费能够用更隐蔽的方式传递资源和审美资本。
**观看时需要区分：**
- 物品少可能来自价值选择，也可能来自内容构图需求
- 极简空间不等于生活负担一定更少
- 整洁、昂贵和心理健康之间没有简单对应关系
## 需要注意
不要把个人物品数量变成道德等级，也不要把极简账号理解为普遍适用的生活标准。</x:v>
      </x:c>
      <x:c r="D18" s="48" t="str">
        <x:v>极简主义,高级品位,空间展示,克制消费</x:v>
      </x:c>
      <x:c r="E18" s="48" t="str">
        <x:v>看到极简空间后，觉得自己的正常生活用品和杂乱痕迹说明人格不够高级时。</x:v>
      </x:c>
      <x:c r="F18" s="48" t="str">
        <x:v>参考：Lu等，2024，自我呈现、社会比较与消费倾向；Duffy与Hund，2015，生活方式自我品牌。</x:v>
      </x:c>
      <x:c r="G18" s="93" t="str">
        <x:v>否</x:v>
      </x:c>
    </x:row>
    <x:row r="19" ht="118" customHeight="1">
      <x:c r="A19" s="81" t="str">
        <x:v>高社交能量与“朋友很多”人设</x:v>
      </x:c>
      <x:c r="B19" s="87" t="str">
        <x:v>人设图鉴</x:v>
      </x:c>
      <x:c r="C19" s="48" t="str">
        <x:v>## 这种人设是什么
高社交能量人设通过聚会、合照、群体互动和频繁邀约，呈现受欢迎、连接广泛且生活充实的形象。它可能真实反映外向生活，也可能只是公开内容天然偏好多人场景。
## 它通常展示什么
常见展示包括生日、旅行、演出、团建和朋友间的公开互动。多人画面和评论区熟人交流会为社会地位提供直观线索。
## 它容易省略什么
独处、关系摩擦、浅层连接、活动后的疲惫和未被记录的小范围关系很少出现。合照人数也不能说明关系深度、稳定性或一个人是否感到孤独。
## 为什么看起来很有说服力
社交活动具有强可见性，一张照片可以同时展示地点、人数与他人认可。观看者容易用公开互动数量推断人格魅力和归属程度。
**观看时需要区分：**
- 朋友数量、公开互动和关系质量是不同指标
- 外向与内向是倾向，不是高低等级
- 经常独处的人也可能拥有稳定而深厚的关系
## 需要注意
不应因为某个账号热闹就认定对方从不孤独，也不应把自己的安静生活视为社交失败。</x:v>
      </x:c>
      <x:c r="D19" s="48" t="str">
        <x:v>社交达人,朋友很多,群体展示,受欢迎</x:v>
      </x:c>
      <x:c r="E19" s="48" t="str">
        <x:v>刷到密集聚会和合照后，开始用活动数量判断自己是否被喜欢、是否拥有正常生活时。</x:v>
      </x:c>
      <x:c r="F19" s="48" t="str">
        <x:v>参考：Chou与Edge，2012，他人生活感知；Nesi等，2018，社交媒体如何改变同伴经验。</x:v>
      </x:c>
      <x:c r="G19" s="93" t="str">
        <x:v>否</x:v>
      </x:c>
    </x:row>
    <x:row r="20" ht="118" customHeight="1">
      <x:c r="A20" s="81" t="str">
        <x:v>真实反精致与“翻车”亲近人设</x:v>
      </x:c>
      <x:c r="B20" s="87" t="str">
        <x:v>人设图鉴</x:v>
      </x:c>
      <x:c r="C20" s="48" t="str">
        <x:v>## 这种人设是什么
反精致人设主动展示失误、狼狈、杂乱或未经修饰的片段，以区别于传统完美账号。它可能扩大真实表达空间，也可能逐渐形成另一种稳定风格：必须显得自然、敢自嘲、没有距离感。
## 它通常展示什么
常见内容包括失败花絮、素颜、房间杂乱、自我吐槽和对商业合作的透明说明。适度脆弱能降低受众距离，增强“这个人和我一样”的感受。
## 它容易省略什么
被公开的失败仍然是经过选择的失败。真正涉及隐私、声誉或商业风险的部分可能不会出现；有些“翻车”内容也可能经过事后整理和安全评估。
## 为什么看起来很有说服力
研究指出，真实性是网红重要的社会资本，创作者会通过热情一致、透明披露和选择性自我揭示来维护可信度。展示缺点并不必然虚假，但也不是未经筛选的完整自我。
**观看时需要区分：**
- 展示不完美可以是真诚表达，也可以同时具有品牌功能
- 看起来随意的内容仍可能经过受众和风险判断
- 真实不是“什么都公开”，保留隐私同样合理
## 需要注意
不要陷入“精致一定假、狼狈一定真”的二分法。</x:v>
      </x:c>
      <x:c r="D20" s="48" t="str">
        <x:v>真实人设,反精致,自我揭示,亲近感</x:v>
      </x:c>
      <x:c r="E20" s="48" t="str">
        <x:v>因为某位博主经常自嘲和展示失败，就认为其所有内容都不可能经过策划时。</x:v>
      </x:c>
      <x:c r="F20" s="48" t="str">
        <x:v>参考：Audrezet等，2020，网红真实性策略；Zimmermann等，2025，网红自我呈现与真实性。</x:v>
      </x:c>
      <x:c r="G20" s="93" t="str">
        <x:v>是</x:v>
      </x:c>
    </x:row>
    <x:row r="21" ht="118" customHeight="1">
      <x:c r="A21" s="81" t="str">
        <x:v>谦虚炫耀与低调成功人设</x:v>
      </x:c>
      <x:c r="B21" s="87" t="str">
        <x:v>人设图鉴</x:v>
      </x:c>
      <x:c r="C21" s="48" t="str">
        <x:v>## 这种人设是什么
谦虚炫耀是把成就信息放进抱怨、惊讶或自我贬低中，例如“又被迫升职了”“只是随便准备却拿了第一”。它试图同时获得能力认可和谦逊印象，是一种具体的自我呈现方式。
## 它通常展示什么
内容通常包含可识别的成就，但语气淡化主动展示意图。成功被描述成偶然、麻烦或意料之外，使发布者看起来既优秀又不自负。
## 它容易省略什么
实际投入、对认可的期待以及选择发布这条信息的动机不会直接说明。并非所有轻描淡写都是操控，有时也来自文化中的谦逊规范或不知道如何表达成就。
## 为什么看起来很有说服力
研究将谦虚炫耀定义为由抱怨或谦逊包装的炫耀，并发现它常因被感知为不真诚而适得其反。不过现实语境、关系和表达习惯都会影响判断。
**观看时需要区分：**
- 先看事实信息，再判断语气，不必自动推断恶意
- 公开成就是正常需求，直接表达未必比包装表达更自恋
- 文化中的客套和实验研究中的谦虚炫耀不能完全等同
## 需要注意
本条用于识别表达结构，而不是给某个发布者贴上虚伪标签。</x:v>
      </x:c>
      <x:c r="D21" s="48" t="str">
        <x:v>谦虚炫耀,低调成功,自我推广,印象管理</x:v>
      </x:c>
      <x:c r="E21" s="48" t="str">
        <x:v>看到“随便做做就成功”“优秀也是一种烦恼”之类内容，既羡慕又觉得不舒服时。</x:v>
      </x:c>
      <x:c r="F21" s="48" t="str">
        <x:v>参考：Sezer、Gino与Norton，2018，谦虚炫耀作为低效自我呈现策略。</x:v>
      </x:c>
      <x:c r="G21" s="93" t="str">
        <x:v>否</x:v>
      </x:c>
    </x:row>
    <x:row r="22" ht="118" customHeight="1">
      <x:c r="A22" s="81" t="str">
        <x:v>美妆时尚与风格权威人设</x:v>
      </x:c>
      <x:c r="B22" s="87" t="str">
        <x:v>人设图鉴</x:v>
      </x:c>
      <x:c r="C22" s="48" t="str">
        <x:v>## 这种人设是什么
美妆时尚人设通过稳定审美、产品选择和身体呈现，建立“知道什么适合、什么值得买”的风格权威。它既是创意表达，也常与商业推荐和个人品牌紧密结合。
## 它通常展示什么
常见内容包括妆容、穿搭、趋势判断、单品测评和前后变化。连续风格和对细节的熟练描述，会让个人偏好看起来像普遍审美规则。
## 它容易省略什么
试错成本、退货、品牌合作、团队妆造、身体差异和不适用人群通常无法在每条内容中完整呈现。一个效果在镜头中好看，也不等于在所有光线和生活场景中相同。
## 为什么看起来很有说服力
网红依靠专业感、亲近感和真实性积累影响力。商业合作进入后，创作者需要同时维护个人品位和受众信任，这两种目标有时会产生张力。
**观看时需要区分：**
- 风格建议具有主观性，不能等同于医学或身体价值判断
- 广告披露、产品来源和专业资格应分别核对
- 适合创作者的妆容与服装可能依赖其面部、体型和工作场景
## 需要注意
不必把流行风格当作修正自身缺陷的强制标准。</x:v>
      </x:c>
      <x:c r="D22" s="48" t="str">
        <x:v>美妆人设,时尚博主,风格权威,网红</x:v>
      </x:c>
      <x:c r="E22" s="48" t="str">
        <x:v>因某位博主风格统一、表达专业，就认为其推荐一定客观且每件单品都适合自己时。</x:v>
      </x:c>
      <x:c r="F22" s="48" t="str">
        <x:v>参考：Zimmermann等，2025，美妆时尚健身网红的自我呈现；Audrezet等，2020，真实性与商业合作。</x:v>
      </x:c>
      <x:c r="G22" s="93" t="str">
        <x:v>否</x:v>
      </x:c>
    </x:row>
    <x:row r="23" ht="118" customHeight="1">
      <x:c r="A23" s="82" t="str">
        <x:v>健康饮食与全方位养生人设</x:v>
      </x:c>
      <x:c r="B23" s="88" t="str">
        <x:v>人设图鉴</x:v>
      </x:c>
      <x:c r="C23" s="51" t="str">
        <x:v>## 这种人设是什么
健康养生人设通过饮食、运动、睡眠和自我照护建立“身体管理有方法”的形象。内容可能促进健康意识，但个人经验、一般健康信息与专业医疗建议之间的边界容易模糊。
## 它通常展示什么
常见展示包括干净食材、固定补充剂、晨间流程、体检指标、情绪管理和看似完整的健康系统。结果通常以精神状态、外形和日常效率表现。
## 它容易省略什么
慢性疾病、医学治疗、基因差异、失败尝试、检测误差和商业利益可能不会在短内容中充分说明。健康结果也很难只归因于某一种食物或习惯。
## 为什么看起来很有说服力
生活化镜头和持续实践能让建议显得比抽象医学信息更亲近。拟社会信任、个人故事和可见外形会增强说服力，但它们不能替代证据和专业资格。
**观看时需要区分：**
- 个人有效不等于对所有人有效
- 健康生活方式与疾病治疗建议具有不同证据要求
- 外貌、精力和账号活跃度不能证明完整健康状况
## 需要注意
遇到限制饮食、停药、替代治疗或补充剂建议时，应单独核验专业来源。</x:v>
      </x:c>
      <x:c r="D23" s="51" t="str">
        <x:v>健康人设,养生博主,饮食管理,健康传播</x:v>
      </x:c>
      <x:c r="E23" s="51" t="str">
        <x:v>看到博主状态很好、生活规律，就准备把其个人饮食和补充剂方案当成普遍医疗建议时。</x:v>
      </x:c>
      <x:c r="F23" s="51" t="str">
        <x:v>参考：Kaňková等，2025，健康类网红传播范围综述；Pilgrim与Bohnet-Joschko，2019，Instagram健康传播。</x:v>
      </x:c>
      <x:c r="G23" s="94" t="str">
        <x:v>否</x:v>
      </x:c>
    </x:row>
  </x:sheetData>
  <x:mergeCells>
    <x:mergeCell ref="A1:G1"/>
    <x:mergeCell ref="A2:G2"/>
  </x:mergeCells>
  <x:conditionalFormatting sqref="G4:G23">
    <x:cfRule type="expression" dxfId="0" priority="1">
      <x:formula>G4="是"</x:formula>
    </x:cfRule>
  </x:conditionalFormatting>
  <x:dataValidations count="2">
    <x:dataValidation type="list" sqref="B4:B23">
      <x:formula1>"人设图鉴"</x:formula1>
    </x:dataValidation>
    <x:dataValidation type="list" sqref="G4:G23">
      <x:formula1>"是,否"</x:formula1>
    </x:dataValidation>
  </x:dataValidations>
  <x:pageMargins left="0.7" right="0.7" top="0.75" bottom="0.75" header="0.3" footer="0.3"/>
  <x:tableParts count="1">
    <x:tablePart xmlns:r="http://schemas.openxmlformats.org/officeDocument/2006/relationships" r:id="R730c3c5ad5284fe0"/>
  </x:tableParts>
</x:worksheet>
</file>

<file path=xl/worksheets/sheet2.xml><?xml version="1.0" encoding="utf-8"?>
<x:worksheet xmlns:x="http://schemas.openxmlformats.org/spreadsheetml/2006/main">
  <x:sheetFormatPr defaultRowHeight="15"/>
  <x:cols>
    <x:col min="1" max="1" width="22" hidden="0" customWidth="1"/>
    <x:col min="2" max="2" width="46" hidden="0" customWidth="1"/>
    <x:col min="3" max="3" width="10" hidden="0" customWidth="1"/>
    <x:col min="4" max="4" width="48" hidden="0" customWidth="1"/>
    <x:col min="5" max="5" width="48" hidden="0" customWidth="1"/>
  </x:cols>
  <x:sheetData>
    <x:row r="1" ht="32" customHeight="1">
      <x:c r="A1" s="5" t="str">
        <x:v>人设图鉴主题地图</x:v>
      </x:c>
      <x:c r="B1" s="5"/>
      <x:c r="C1" s="5"/>
      <x:c r="D1" s="5"/>
      <x:c r="E1" s="5"/>
    </x:row>
    <x:row r="2" ht="34" customHeight="1">
      <x:c r="A2" s="13" t="str">
        <x:v>“人设”指持续形成的公开形象，不自动等于虚假。每条主要解释展示内容、常被省略的部分及其说服力来源。</x:v>
      </x:c>
      <x:c r="B2" s="13"/>
      <x:c r="C2" s="13"/>
      <x:c r="D2" s="13"/>
      <x:c r="E2" s="13"/>
    </x:row>
    <x:row r="4">
      <x:c r="A4" s="21" t="str">
        <x:v>主题组</x:v>
      </x:c>
      <x:c r="B4" s="21" t="str">
        <x:v>包含条目</x:v>
      </x:c>
      <x:c r="C4" s="21" t="str">
        <x:v>数量</x:v>
      </x:c>
      <x:c r="D4" s="21" t="str">
        <x:v>主要解释</x:v>
      </x:c>
      <x:c r="E4" s="21" t="str">
        <x:v>与其他分类的边界</x:v>
      </x:c>
    </x:row>
    <x:row r="5" ht="66" customHeight="1">
      <x:c r="A5" s="151" t="str">
        <x:v>生活方式与地位</x:v>
      </x:c>
      <x:c r="B5" s="117" t="str">
        <x:v>精致生活、松弛感、财富自由、旅行达人、极简主义</x:v>
      </x:c>
      <x:c r="C5" s="157" t="n">
        <x:v>5</x:v>
      </x:c>
      <x:c r="D5" s="117" t="str">
        <x:v>生活方式如何被组织成稳定的审美、自由与社会位置形象</x:v>
      </x:c>
      <x:c r="E5" s="118" t="str">
        <x:v>不具体拆解摄影、租借、植入和算法推送手法</x:v>
      </x:c>
    </x:row>
    <x:row r="6" ht="66" customHeight="1">
      <x:c r="A6" s="152" t="str">
        <x:v>效率与成就</x:v>
      </x:c>
      <x:c r="B6" s="120" t="str">
        <x:v>极致自律、学霸、职场精英、创业成功、知识专家</x:v>
      </x:c>
      <x:c r="C6" s="158" t="n">
        <x:v>5</x:v>
      </x:c>
      <x:c r="D6" s="120" t="str">
        <x:v>成果、能力与持续上升如何形成个人品牌</x:v>
      </x:c>
      <x:c r="E6" s="121" t="str">
        <x:v>不提供时间管理、学习方法或职业行动步骤</x:v>
      </x:c>
    </x:row>
    <x:row r="7" ht="66" customHeight="1">
      <x:c r="A7" s="152" t="str">
        <x:v>身体与健康</x:v>
      </x:c>
      <x:c r="B7" s="120" t="str">
        <x:v>健身塑形、高颜值、美妆时尚、健康养生</x:v>
      </x:c>
      <x:c r="C7" s="158" t="n">
        <x:v>4</x:v>
      </x:c>
      <x:c r="D7" s="120" t="str">
        <x:v>身体、审美和健康经验如何转化为可识别身份</x:v>
      </x:c>
      <x:c r="E7" s="121" t="str">
        <x:v>修图滤镜归套路拆解；具体健康方案不在本类</x:v>
      </x:c>
    </x:row>
    <x:row r="8" ht="66" customHeight="1">
      <x:c r="A8" s="152" t="str">
        <x:v>关系与社会形象</x:v>
      </x:c>
      <x:c r="B8" s="120" t="str">
        <x:v>完美伴侣、完美父母、情绪稳定、高社交能量</x:v>
      </x:c>
      <x:c r="C8" s="158" t="n">
        <x:v>4</x:v>
      </x:c>
      <x:c r="D8" s="120" t="str">
        <x:v>亲密、家庭、理性和受欢迎如何通过公开互动被理解</x:v>
      </x:c>
      <x:c r="E8" s="121" t="str">
        <x:v>不判断真实关系质量，也不提供关系处置建议</x:v>
      </x:c>
    </x:row>
    <x:row r="9" ht="66" customHeight="1">
      <x:c r="A9" s="153" t="str">
        <x:v>真实性与表达策略</x:v>
      </x:c>
      <x:c r="B9" s="123" t="str">
        <x:v>真实反精致、谦虚炫耀</x:v>
      </x:c>
      <x:c r="C9" s="159" t="n">
        <x:v>2</x:v>
      </x:c>
      <x:c r="D9" s="123" t="str">
        <x:v>不完美展示和低调自我推广如何形成可信或矛盾印象</x:v>
      </x:c>
      <x:c r="E9" s="124" t="str">
        <x:v>仅解释表达结构，不给发布者贴虚假或恶意标签</x:v>
      </x:c>
    </x:row>
  </x:sheetData>
  <x:mergeCells>
    <x:mergeCell ref="A1:E1"/>
    <x:mergeCell ref="A2:E2"/>
  </x:mergeCells>
  <x:pageMargins left="0.7" right="0.7" top="0.75" bottom="0.75" header="0.3" footer="0.3"/>
</x:worksheet>
</file>

<file path=xl/worksheets/sheet3.xml><?xml version="1.0" encoding="utf-8"?>
<x:worksheet xmlns:x="http://schemas.openxmlformats.org/spreadsheetml/2006/main">
  <x:sheetFormatPr defaultRowHeight="15"/>
  <x:cols>
    <x:col min="1" max="1" width="8" hidden="0" customWidth="1"/>
    <x:col min="2" max="2" width="26" hidden="0" customWidth="1"/>
    <x:col min="3" max="3" width="60" hidden="0" customWidth="1"/>
    <x:col min="4" max="4" width="35" hidden="0" customWidth="1"/>
    <x:col min="5" max="5" width="25" hidden="0" customWidth="1"/>
    <x:col min="6" max="6" width="38" hidden="0" customWidth="1"/>
    <x:col min="7" max="7" width="53" hidden="0" customWidth="1"/>
  </x:cols>
  <x:sheetData>
    <x:row r="1" ht="32" customHeight="1">
      <x:c r="A1" s="5" t="str">
        <x:v>来源索引｜人设、自我呈现与网红研究</x:v>
      </x:c>
      <x:c r="B1" s="5"/>
      <x:c r="C1" s="5"/>
      <x:c r="D1" s="5"/>
      <x:c r="E1" s="5"/>
      <x:c r="F1" s="5"/>
      <x:c r="G1" s="5"/>
    </x:row>
    <x:row r="2" ht="30" customHeight="1">
      <x:c r="A2" s="13" t="str">
        <x:v>导入表的 source_note 使用简写；本页保留完整题名、期刊、证据类型和可核验链接。</x:v>
      </x:c>
      <x:c r="B2" s="13"/>
      <x:c r="C2" s="13"/>
      <x:c r="D2" s="13"/>
      <x:c r="E2" s="13"/>
      <x:c r="F2" s="13"/>
      <x:c r="G2" s="13"/>
    </x:row>
    <x:row r="3" ht="32" customHeight="1">
      <x:c r="A3" s="21" t="str">
        <x:v>编号</x:v>
      </x:c>
      <x:c r="B3" s="21" t="str">
        <x:v>作者 / 年份</x:v>
      </x:c>
      <x:c r="C3" s="21" t="str">
        <x:v>完整题名</x:v>
      </x:c>
      <x:c r="D3" s="21" t="str">
        <x:v>期刊 / 来源</x:v>
      </x:c>
      <x:c r="E3" s="21" t="str">
        <x:v>证据类型</x:v>
      </x:c>
      <x:c r="F3" s="21" t="str">
        <x:v>主要支持主题</x:v>
      </x:c>
      <x:c r="G3" s="21" t="str">
        <x:v>DOI / 稳定链接</x:v>
      </x:c>
    </x:row>
    <x:row r="4" ht="54" customHeight="1">
      <x:c r="A4" s="163" t="n">
        <x:v>1</x:v>
      </x:c>
      <x:c r="B4" s="45" t="str">
        <x:v>Fox &amp; Vendemia（2016）</x:v>
      </x:c>
      <x:c r="C4" s="45" t="str">
        <x:v>Selective Self-Presentation and Social Comparison Through Photographs on Social Networking Sites</x:v>
      </x:c>
      <x:c r="D4" s="45" t="str">
        <x:v>Cyberpsychology, Behavior, and Social Networking</x:v>
      </x:c>
      <x:c r="E4" s="45" t="str">
        <x:v>同行评审实证研究</x:v>
      </x:c>
      <x:c r="F4" s="45" t="str">
        <x:v>照片、自我呈现、外貌比较</x:v>
      </x:c>
      <x:c r="G4" s="46" t="str">
        <x:v>https://pubmed.ncbi.nlm.nih.gov/27732079/</x:v>
      </x:c>
    </x:row>
    <x:row r="5" ht="54" customHeight="1">
      <x:c r="A5" s="164" t="n">
        <x:v>2</x:v>
      </x:c>
      <x:c r="B5" s="48" t="str">
        <x:v>Hjetland等（2022）</x:v>
      </x:c>
      <x:c r="C5" s="48" t="str">
        <x:v>Focus on Self-Presentation on Social Media across Sociodemographic Variables, Lifestyles, and Personalities</x:v>
      </x:c>
      <x:c r="D5" s="48" t="str">
        <x:v>International Journal of Environmental Research and Public Health</x:v>
      </x:c>
      <x:c r="E5" s="48" t="str">
        <x:v>同行评审横断研究</x:v>
      </x:c>
      <x:c r="F5" s="48" t="str">
        <x:v>青少年自我呈现差异、向上比较</x:v>
      </x:c>
      <x:c r="G5" s="49" t="str">
        <x:v>https://pmc.ncbi.nlm.nih.gov/articles/PMC9518022/</x:v>
      </x:c>
    </x:row>
    <x:row r="6" ht="54" customHeight="1">
      <x:c r="A6" s="164" t="n">
        <x:v>3</x:v>
      </x:c>
      <x:c r="B6" s="48" t="str">
        <x:v>Bailey等（2020）</x:v>
      </x:c>
      <x:c r="C6" s="48" t="str">
        <x:v>Authentic Self-Expression on Social Media Is Associated with Greater Subjective Well-Being</x:v>
      </x:c>
      <x:c r="D6" s="48" t="str">
        <x:v>Nature Communications</x:v>
      </x:c>
      <x:c r="E6" s="48" t="str">
        <x:v>大样本行为数据研究</x:v>
      </x:c>
      <x:c r="F6" s="48" t="str">
        <x:v>真实表达、幸福感、自我呈现</x:v>
      </x:c>
      <x:c r="G6" s="49" t="str">
        <x:v>https://pmc.ncbi.nlm.nih.gov/articles/PMC7538578/</x:v>
      </x:c>
    </x:row>
    <x:row r="7" ht="54" customHeight="1">
      <x:c r="A7" s="164" t="n">
        <x:v>4</x:v>
      </x:c>
      <x:c r="B7" s="48" t="str">
        <x:v>Gonzales &amp; Hancock（2011）</x:v>
      </x:c>
      <x:c r="C7" s="48" t="str">
        <x:v>Mirror, Mirror on My Facebook Wall: Effects of Exposure to Facebook on Self-Esteem</x:v>
      </x:c>
      <x:c r="D7" s="48" t="str">
        <x:v>Cyberpsychology, Behavior, and Social Networking</x:v>
      </x:c>
      <x:c r="E7" s="48" t="str">
        <x:v>实验研究</x:v>
      </x:c>
      <x:c r="F7" s="48" t="str">
        <x:v>个人主页、自我呈现、自尊</x:v>
      </x:c>
      <x:c r="G7" s="49" t="str">
        <x:v>https://pubmed.ncbi.nlm.nih.gov/21329447/</x:v>
      </x:c>
    </x:row>
    <x:row r="8" ht="54" customHeight="1">
      <x:c r="A8" s="164" t="n">
        <x:v>5</x:v>
      </x:c>
      <x:c r="B8" s="48" t="str">
        <x:v>Chou &amp; Edge（2012）</x:v>
      </x:c>
      <x:c r="C8" s="48" t="str">
        <x:v>They Are Happier and Having Better Lives than I Am: The Impact of Using Facebook on Perceptions of Others' Lives</x:v>
      </x:c>
      <x:c r="D8" s="48" t="str">
        <x:v>Cyberpsychology, Behavior, and Social Networking</x:v>
      </x:c>
      <x:c r="E8" s="48" t="str">
        <x:v>同行评审实证研究</x:v>
      </x:c>
      <x:c r="F8" s="48" t="str">
        <x:v>高光展示、他人生活感知</x:v>
      </x:c>
      <x:c r="G8" s="49" t="str">
        <x:v>https://pubmed.ncbi.nlm.nih.gov/22165917/</x:v>
      </x:c>
    </x:row>
    <x:row r="9" ht="54" customHeight="1">
      <x:c r="A9" s="164" t="n">
        <x:v>6</x:v>
      </x:c>
      <x:c r="B9" s="48" t="str">
        <x:v>Audrezet等（2020）</x:v>
      </x:c>
      <x:c r="C9" s="48" t="str">
        <x:v>Authenticity under Threat: When Social Media Influencers Need to Go Beyond Self-Presentation</x:v>
      </x:c>
      <x:c r="D9" s="48" t="str">
        <x:v>Journal of Business Research</x:v>
      </x:c>
      <x:c r="E9" s="48" t="str">
        <x:v>同行评审质性研究</x:v>
      </x:c>
      <x:c r="F9" s="48" t="str">
        <x:v>网红真实性、商业合作、自我呈现策略</x:v>
      </x:c>
      <x:c r="G9" s="49" t="str">
        <x:v>https://doi.org/10.1016/j.jbusres.2018.07.008</x:v>
      </x:c>
    </x:row>
    <x:row r="10" ht="54" customHeight="1">
      <x:c r="A10" s="164" t="n">
        <x:v>7</x:v>
      </x:c>
      <x:c r="B10" s="48" t="str">
        <x:v>Khamis、Ang &amp; Welling（2017）</x:v>
      </x:c>
      <x:c r="C10" s="48" t="str">
        <x:v>Self-Branding, 'Micro-Celebrity' and the Rise of Social Media Influencers</x:v>
      </x:c>
      <x:c r="D10" s="48" t="str">
        <x:v>Celebrity Studies</x:v>
      </x:c>
      <x:c r="E10" s="48" t="str">
        <x:v>同行评审理论研究</x:v>
      </x:c>
      <x:c r="F10" s="48" t="str">
        <x:v>个人品牌、微名人、网红身份</x:v>
      </x:c>
      <x:c r="G10" s="49" t="str">
        <x:v>https://doi.org/10.1080/19392397.2016.1218292</x:v>
      </x:c>
    </x:row>
    <x:row r="11" ht="54" customHeight="1">
      <x:c r="A11" s="164" t="n">
        <x:v>8</x:v>
      </x:c>
      <x:c r="B11" s="48" t="str">
        <x:v>Duffy &amp; Hund（2015）</x:v>
      </x:c>
      <x:c r="C11" s="48" t="str">
        <x:v>“Having It All” on Social Media: Entrepreneurial Femininity and Self-Branding Among Fashion Bloggers</x:v>
      </x:c>
      <x:c r="D11" s="48" t="str">
        <x:v>Social Media + Society</x:v>
      </x:c>
      <x:c r="E11" s="48" t="str">
        <x:v>同行评审质性研究</x:v>
      </x:c>
      <x:c r="F11" s="48" t="str">
        <x:v>创业、自律、生活方式与自我品牌</x:v>
      </x:c>
      <x:c r="G11" s="49" t="str">
        <x:v>https://doi.org/10.1177/2056305115604337</x:v>
      </x:c>
    </x:row>
    <x:row r="12" ht="54" customHeight="1">
      <x:c r="A12" s="164" t="n">
        <x:v>9</x:v>
      </x:c>
      <x:c r="B12" s="48" t="str">
        <x:v>Zheng等（2020）</x:v>
      </x:c>
      <x:c r="C12" s="48" t="str">
        <x:v>Self-Presentation on Social Media: When Self-Enhancement Confronts Self-Verification</x:v>
      </x:c>
      <x:c r="D12" s="48" t="str">
        <x:v>Journal of Interactive Marketing</x:v>
      </x:c>
      <x:c r="E12" s="48" t="str">
        <x:v>同行评审实验研究</x:v>
      </x:c>
      <x:c r="F12" s="48" t="str">
        <x:v>自我提升、自我验证、受众关系</x:v>
      </x:c>
      <x:c r="G12" s="49" t="str">
        <x:v>https://experts.illinois.edu/en/publications/self-presentation-on-social-media-when-self-enhancement-confronts/</x:v>
      </x:c>
    </x:row>
    <x:row r="13" ht="54" customHeight="1">
      <x:c r="A13" s="164" t="n">
        <x:v>10</x:v>
      </x:c>
      <x:c r="B13" s="48" t="str">
        <x:v>Izquierdo-Iranzo &amp; Gallardo-Echenique（2020）</x:v>
      </x:c>
      <x:c r="C13" s="48" t="str">
        <x:v>Studygrammers: Learning Influencers</x:v>
      </x:c>
      <x:c r="D13" s="48" t="str">
        <x:v>Comunicar</x:v>
      </x:c>
      <x:c r="E13" s="48" t="str">
        <x:v>混合方法研究</x:v>
      </x:c>
      <x:c r="F13" s="48" t="str">
        <x:v>Studygram、学习网红、学习身份</x:v>
      </x:c>
      <x:c r="G13" s="49" t="str">
        <x:v>https://doi.org/10.3916/C62-2020-10</x:v>
      </x:c>
    </x:row>
    <x:row r="14" ht="54" customHeight="1">
      <x:c r="A14" s="164" t="n">
        <x:v>11</x:v>
      </x:c>
      <x:c r="B14" s="48" t="str">
        <x:v>Lee等（2021）</x:v>
      </x:c>
      <x:c r="C14" s="48" t="str">
        <x:v>Personalizing Ambience and Illusionary Presence: How People Use “Study with Me” Videos to Create Effective Studying Environments</x:v>
      </x:c>
      <x:c r="D14" s="48" t="str">
        <x:v>CHI 2021 Proceedings</x:v>
      </x:c>
      <x:c r="E14" s="48" t="str">
        <x:v>人机交互实证研究</x:v>
      </x:c>
      <x:c r="F14" s="48" t="str">
        <x:v>Study With Me、同伴压力、学习陪伴</x:v>
      </x:c>
      <x:c r="G14" s="49" t="str">
        <x:v>https://doi.org/10.1145/3411764.3445222</x:v>
      </x:c>
    </x:row>
    <x:row r="15" ht="54" customHeight="1">
      <x:c r="A15" s="164" t="n">
        <x:v>12</x:v>
      </x:c>
      <x:c r="B15" s="48" t="str">
        <x:v>Lussier、Ditta &amp; Speer（2023）</x:v>
      </x:c>
      <x:c r="C15" s="48" t="str">
        <x:v>The Potential Power of “Studygram”: Concrete Visual Representations May Increase Student Motivation, Engagement, and Enjoyment of Routine Course Assignments</x:v>
      </x:c>
      <x:c r="D15" s="48" t="str">
        <x:v>Psychology in the Schools</x:v>
      </x:c>
      <x:c r="E15" s="48" t="str">
        <x:v>同行评审实验研究</x:v>
      </x:c>
      <x:c r="F15" s="48" t="str">
        <x:v>学习图像、动机、参与度</x:v>
      </x:c>
      <x:c r="G15" s="49" t="str">
        <x:v>https://doi.org/10.1002/pits.22936</x:v>
      </x:c>
    </x:row>
    <x:row r="16" ht="54" customHeight="1">
      <x:c r="A16" s="164" t="n">
        <x:v>13</x:v>
      </x:c>
      <x:c r="B16" s="48" t="str">
        <x:v>van Dijck（2013）</x:v>
      </x:c>
      <x:c r="C16" s="48" t="str">
        <x:v>‘You Have One Identity’: Performing the Self on Facebook and LinkedIn</x:v>
      </x:c>
      <x:c r="D16" s="48" t="str">
        <x:v>Media, Culture &amp; Society</x:v>
      </x:c>
      <x:c r="E16" s="48" t="str">
        <x:v>界面与身份理论分析</x:v>
      </x:c>
      <x:c r="F16" s="48" t="str">
        <x:v>职业身份、LinkedIn、自我推广</x:v>
      </x:c>
      <x:c r="G16" s="49" t="str">
        <x:v>https://doi.org/10.1177/0163443712468605</x:v>
      </x:c>
    </x:row>
    <x:row r="17" ht="54" customHeight="1">
      <x:c r="A17" s="164" t="n">
        <x:v>14</x:v>
      </x:c>
      <x:c r="B17" s="48" t="str">
        <x:v>Bar-Ilan等（2015）</x:v>
      </x:c>
      <x:c r="C17" s="48" t="str">
        <x:v>Self-Presentation in Academia Today: From Peer-Reviewed Publications to Social Media</x:v>
      </x:c>
      <x:c r="D17" s="48" t="str">
        <x:v>Proceedings of the Association for Information Science and Technology</x:v>
      </x:c>
      <x:c r="E17" s="48" t="str">
        <x:v>学术传播研究</x:v>
      </x:c>
      <x:c r="F17" s="48" t="str">
        <x:v>专业身份、学术自我呈现</x:v>
      </x:c>
      <x:c r="G17" s="49" t="str">
        <x:v>https://doi.org/10.1002/pra2.2015.145052010016</x:v>
      </x:c>
    </x:row>
    <x:row r="18" ht="54" customHeight="1">
      <x:c r="A18" s="164" t="n">
        <x:v>15</x:v>
      </x:c>
      <x:c r="B18" s="48" t="str">
        <x:v>Li等（2024）</x:v>
      </x:c>
      <x:c r="C18" s="48" t="str">
        <x:v>Travel Influencers and Their Social Identity</x:v>
      </x:c>
      <x:c r="D18" s="48" t="str">
        <x:v>Current Issues in Tourism</x:v>
      </x:c>
      <x:c r="E18" s="48" t="str">
        <x:v>同行评审实证研究</x:v>
      </x:c>
      <x:c r="F18" s="48" t="str">
        <x:v>旅行网红、身份建构与维护</x:v>
      </x:c>
      <x:c r="G18" s="49" t="str">
        <x:v>https://doi.org/10.1080/13683500.2024.2419554</x:v>
      </x:c>
    </x:row>
    <x:row r="19" ht="54" customHeight="1">
      <x:c r="A19" s="164" t="n">
        <x:v>16</x:v>
      </x:c>
      <x:c r="B19" s="48" t="str">
        <x:v>Jerónimo &amp; Carraça（2022）</x:v>
      </x:c>
      <x:c r="C19" s="48" t="str">
        <x:v>Effects of Fitspiration Content on Body Image: A Systematic Review</x:v>
      </x:c>
      <x:c r="D19" s="48" t="str">
        <x:v>Eating and Weight Disorders</x:v>
      </x:c>
      <x:c r="E19" s="48" t="str">
        <x:v>系统综述</x:v>
      </x:c>
      <x:c r="F19" s="48" t="str">
        <x:v>Fitspiration、身体比较、身体意象</x:v>
      </x:c>
      <x:c r="G19" s="49" t="str">
        <x:v>https://pmc.ncbi.nlm.nih.gov/articles/PMC9676749/</x:v>
      </x:c>
    </x:row>
    <x:row r="20" ht="54" customHeight="1">
      <x:c r="A20" s="164" t="n">
        <x:v>17</x:v>
      </x:c>
      <x:c r="B20" s="48" t="str">
        <x:v>Tiggemann &amp; Zaccardo（2015）</x:v>
      </x:c>
      <x:c r="C20" s="48" t="str">
        <x:v>“Exercise to Be Fit, Not Skinny”: The Effect of Fitspiration Imagery on Women's Body Image</x:v>
      </x:c>
      <x:c r="D20" s="48" t="str">
        <x:v>Body Image</x:v>
      </x:c>
      <x:c r="E20" s="48" t="str">
        <x:v>实验研究</x:v>
      </x:c>
      <x:c r="F20" s="48" t="str">
        <x:v>健身人设、外貌比较、负面情绪</x:v>
      </x:c>
      <x:c r="G20" s="49" t="str">
        <x:v>https://pubmed.ncbi.nlm.nih.gov/26176993/</x:v>
      </x:c>
    </x:row>
    <x:row r="21" ht="54" customHeight="1">
      <x:c r="A21" s="164" t="n">
        <x:v>18</x:v>
      </x:c>
      <x:c r="B21" s="48" t="str">
        <x:v>Carrotte等（2017）</x:v>
      </x:c>
      <x:c r="C21" s="48" t="str">
        <x:v>“Fitspiration” on Social Media: A Content Analysis of Gendered Images</x:v>
      </x:c>
      <x:c r="D21" s="48" t="str">
        <x:v>Journal of Medical Internet Research</x:v>
      </x:c>
      <x:c r="E21" s="48" t="str">
        <x:v>内容分析</x:v>
      </x:c>
      <x:c r="F21" s="48" t="str">
        <x:v>健身理想、性别化身体呈现</x:v>
      </x:c>
      <x:c r="G21" s="49" t="str">
        <x:v>https://pubmed.ncbi.nlm.nih.gov/28356239/</x:v>
      </x:c>
    </x:row>
    <x:row r="22" ht="54" customHeight="1">
      <x:c r="A22" s="164" t="n">
        <x:v>19</x:v>
      </x:c>
      <x:c r="B22" s="48" t="str">
        <x:v>Vandenbosch等（2022）</x:v>
      </x:c>
      <x:c r="C22" s="48" t="str">
        <x:v>Social Media and Body Image: Recent Trends and Future Directions</x:v>
      </x:c>
      <x:c r="D22" s="48" t="str">
        <x:v>Current Opinion in Psychology</x:v>
      </x:c>
      <x:c r="E22" s="48" t="str">
        <x:v>综述</x:v>
      </x:c>
      <x:c r="F22" s="48" t="str">
        <x:v>视觉平台、自拍、身体意象</x:v>
      </x:c>
      <x:c r="G22" s="49" t="str">
        <x:v>https://pubmed.ncbi.nlm.nih.gov/35030460/</x:v>
      </x:c>
    </x:row>
    <x:row r="23" ht="54" customHeight="1">
      <x:c r="A23" s="164" t="n">
        <x:v>20</x:v>
      </x:c>
      <x:c r="B23" s="48" t="str">
        <x:v>Moser、Chen &amp; Schoenebeck（2017）</x:v>
      </x:c>
      <x:c r="C23" s="48" t="str">
        <x:v>Parents’ and Children’s Preferences about Parents Sharing about Children on Social Media</x:v>
      </x:c>
      <x:c r="D23" s="48" t="str">
        <x:v>CHI 2017 Proceedings</x:v>
      </x:c>
      <x:c r="E23" s="48" t="str">
        <x:v>亲子隐私实证研究</x:v>
      </x:c>
      <x:c r="F23" s="48" t="str">
        <x:v>父母分享、儿童隐私、家庭人设</x:v>
      </x:c>
      <x:c r="G23" s="49" t="str">
        <x:v>https://doi.org/10.1145/3025453.3025587</x:v>
      </x:c>
    </x:row>
    <x:row r="24" ht="54" customHeight="1">
      <x:c r="A24" s="164" t="n">
        <x:v>21</x:v>
      </x:c>
      <x:c r="B24" s="48" t="str">
        <x:v>Bayraktar等（2024）</x:v>
      </x:c>
      <x:c r="C24" s="48" t="str">
        <x:v>The Mediating Role of Social Comparison Between Parental Social Media Use and Parenting Self-Efficacy</x:v>
      </x:c>
      <x:c r="D24" s="48" t="str">
        <x:v>同行评审开放获取论文</x:v>
      </x:c>
      <x:c r="E24" s="48" t="str">
        <x:v>实证研究</x:v>
      </x:c>
      <x:c r="F24" s="48" t="str">
        <x:v>育儿比较、父母自我效能</x:v>
      </x:c>
      <x:c r="G24" s="49" t="str">
        <x:v>https://pmc.ncbi.nlm.nih.gov/articles/PMC11987531/</x:v>
      </x:c>
    </x:row>
    <x:row r="25" ht="54" customHeight="1">
      <x:c r="A25" s="164" t="n">
        <x:v>22</x:v>
      </x:c>
      <x:c r="B25" s="48" t="str">
        <x:v>Rüther等（2023）</x:v>
      </x:c>
      <x:c r="C25" s="48" t="str">
        <x:v>#influenced! The Impact of Social Media Influencing on Self-Esteem and the Role of Social Comparison and Resilience</x:v>
      </x:c>
      <x:c r="D25" s="48" t="str">
        <x:v>Frontiers in Psychology</x:v>
      </x:c>
      <x:c r="E25" s="48" t="str">
        <x:v>实验研究</x:v>
      </x:c>
      <x:c r="F25" s="48" t="str">
        <x:v>积极偏向网红图像、比较、自尊</x:v>
      </x:c>
      <x:c r="G25" s="49" t="str">
        <x:v>https://pmc.ncbi.nlm.nih.gov/articles/PMC10582935/</x:v>
      </x:c>
    </x:row>
    <x:row r="26" ht="54" customHeight="1">
      <x:c r="A26" s="164" t="n">
        <x:v>23</x:v>
      </x:c>
      <x:c r="B26" s="48" t="str">
        <x:v>Zimmermann等（2025）</x:v>
      </x:c>
      <x:c r="C26" s="48" t="str">
        <x:v>A Mixed Methods Exploration of Self-Presentation, Authenticity and Mental Health among Beauty, Fashion and Fitness Influencers</x:v>
      </x:c>
      <x:c r="D26" s="48" t="str">
        <x:v>开放获取同行评审论文</x:v>
      </x:c>
      <x:c r="E26" s="48" t="str">
        <x:v>混合方法研究</x:v>
      </x:c>
      <x:c r="F26" s="48" t="str">
        <x:v>美妆时尚健身网红、真实性</x:v>
      </x:c>
      <x:c r="G26" s="49" t="str">
        <x:v>https://pmc.ncbi.nlm.nih.gov/articles/PMC11794495/</x:v>
      </x:c>
    </x:row>
    <x:row r="27" ht="54" customHeight="1">
      <x:c r="A27" s="164" t="n">
        <x:v>24</x:v>
      </x:c>
      <x:c r="B27" s="48" t="str">
        <x:v>Sezer、Gino &amp; Norton（2018）</x:v>
      </x:c>
      <x:c r="C27" s="48" t="str">
        <x:v>Humblebragging: A Distinct—and Ineffective—Self-Presentation Strategy</x:v>
      </x:c>
      <x:c r="D27" s="48" t="str">
        <x:v>Journal of Personality and Social Psychology</x:v>
      </x:c>
      <x:c r="E27" s="48" t="str">
        <x:v>多项实验与日记研究</x:v>
      </x:c>
      <x:c r="F27" s="48" t="str">
        <x:v>谦虚炫耀、真诚感、印象管理</x:v>
      </x:c>
      <x:c r="G27" s="49" t="str">
        <x:v>https://doi.org/10.1037/pspi0000108</x:v>
      </x:c>
    </x:row>
    <x:row r="28" ht="54" customHeight="1">
      <x:c r="A28" s="164" t="n">
        <x:v>25</x:v>
      </x:c>
      <x:c r="B28" s="48" t="str">
        <x:v>Lu等（2024）</x:v>
      </x:c>
      <x:c r="C28" s="48" t="str">
        <x:v>Can Self-Presentation on Social Media Increase Individuals’ Conspicuous Consumption Tendency? A Mixed-Method Empirical Study on WeChat in China</x:v>
      </x:c>
      <x:c r="D28" s="48" t="str">
        <x:v>Journal of Theoretical and Applied Electronic Commerce Research</x:v>
      </x:c>
      <x:c r="E28" s="48" t="str">
        <x:v>调查与实验研究</x:v>
      </x:c>
      <x:c r="F28" s="48" t="str">
        <x:v>自我呈现、社会比较、炫耀性消费</x:v>
      </x:c>
      <x:c r="G28" s="49" t="str">
        <x:v>https://www.mdpi.com/0718-1876/19/2/62</x:v>
      </x:c>
    </x:row>
    <x:row r="29" ht="54" customHeight="1">
      <x:c r="A29" s="164" t="n">
        <x:v>26</x:v>
      </x:c>
      <x:c r="B29" s="48" t="str">
        <x:v>Liu等（2024）</x:v>
      </x:c>
      <x:c r="C29" s="48" t="str">
        <x:v>How Social Media Sharing Drives Consumption Intention: The Role of Social Media Envy and Social Comparison Orientation</x:v>
      </x:c>
      <x:c r="D29" s="48" t="str">
        <x:v>BMC Psychology</x:v>
      </x:c>
      <x:c r="E29" s="48" t="str">
        <x:v>实验研究</x:v>
      </x:c>
      <x:c r="F29" s="48" t="str">
        <x:v>消费分享、羡慕、购买意向</x:v>
      </x:c>
      <x:c r="G29" s="49" t="str">
        <x:v>https://doi.org/10.1186/s40359-024-01627-7</x:v>
      </x:c>
    </x:row>
    <x:row r="30" ht="54" customHeight="1">
      <x:c r="A30" s="164" t="n">
        <x:v>27</x:v>
      </x:c>
      <x:c r="B30" s="48" t="str">
        <x:v>Kaňková等（2025）</x:v>
      </x:c>
      <x:c r="C30" s="48" t="str">
        <x:v>Health-Related Communication of Social Media Influencers: A Scoping Review</x:v>
      </x:c>
      <x:c r="D30" s="48" t="str">
        <x:v>Health Communication</x:v>
      </x:c>
      <x:c r="E30" s="48" t="str">
        <x:v>范围综述</x:v>
      </x:c>
      <x:c r="F30" s="48" t="str">
        <x:v>健康网红、健康传播、证据边界</x:v>
      </x:c>
      <x:c r="G30" s="49" t="str">
        <x:v>https://doi.org/10.1080/10410236.2024.2397268</x:v>
      </x:c>
    </x:row>
    <x:row r="31" ht="54" customHeight="1">
      <x:c r="A31" s="164" t="n">
        <x:v>28</x:v>
      </x:c>
      <x:c r="B31" s="48" t="str">
        <x:v>Pilgrim &amp; Bohnet-Joschko（2019）</x:v>
      </x:c>
      <x:c r="C31" s="48" t="str">
        <x:v>Selling Health and Happiness: How Influencers Communicate on Instagram about Dieting and Exercise</x:v>
      </x:c>
      <x:c r="D31" s="48" t="str">
        <x:v>BMC Public Health</x:v>
      </x:c>
      <x:c r="E31" s="48" t="str">
        <x:v>混合方法内容研究</x:v>
      </x:c>
      <x:c r="F31" s="48" t="str">
        <x:v>健康生活方式、饮食运动网红</x:v>
      </x:c>
      <x:c r="G31" s="49" t="str">
        <x:v>https://doi.org/10.1186/s12889-019-7387-8</x:v>
      </x:c>
    </x:row>
    <x:row r="32" ht="54" customHeight="1">
      <x:c r="A32" s="165" t="n">
        <x:v>29</x:v>
      </x:c>
      <x:c r="B32" s="51" t="str">
        <x:v>Nesi、Choukas-Bradley &amp; Prinstein（2018）</x:v>
      </x:c>
      <x:c r="C32" s="51" t="str">
        <x:v>Transformation of Adolescent Peer Relations in the Social Media Context: Part 1—A Theoretical Framework and Application to Dyadic Peer Relationships</x:v>
      </x:c>
      <x:c r="D32" s="51" t="str">
        <x:v>Clinical Child and Family Psychology Review</x:v>
      </x:c>
      <x:c r="E32" s="51" t="str">
        <x:v>理论综述</x:v>
      </x:c>
      <x:c r="F32" s="51" t="str">
        <x:v>公开性、可量化反馈、同伴关系</x:v>
      </x:c>
      <x:c r="G32" s="52" t="str">
        <x:v>https://pubmed.ncbi.nlm.nih.gov/29627906/</x:v>
      </x:c>
    </x:row>
  </x:sheetData>
  <x:mergeCells>
    <x:mergeCell ref="A1:G1"/>
    <x:mergeCell ref="A2:G2"/>
  </x:mergeCells>
  <x:pageMargins left="0.7" right="0.7" top="0.75" bottom="0.75" header="0.3" footer="0.3"/>
  <x:tableParts count="1">
    <x:tablePart xmlns:r="http://schemas.openxmlformats.org/officeDocument/2006/relationships" r:id="R192de2a881fd480b"/>
  </x:tableParts>
</x:worksheet>
</file>

<file path=xl/worksheets/sheet4.xml><?xml version="1.0" encoding="utf-8"?>
<x:worksheet xmlns:x="http://schemas.openxmlformats.org/spreadsheetml/2006/main">
  <x:sheetFormatPr defaultRowHeight="15"/>
  <x:cols>
    <x:col min="1" max="1" width="25" hidden="0" customWidth="1"/>
    <x:col min="2" max="2" width="50" hidden="0" customWidth="1"/>
    <x:col min="3" max="3" width="48" hidden="0" customWidth="1"/>
    <x:col min="4" max="4" width="48" hidden="0" customWidth="1"/>
  </x:cols>
  <x:sheetData>
    <x:row r="1" ht="32" customHeight="1">
      <x:c r="A1" s="5" t="str">
        <x:v>人设图鉴与其他分类的边界</x:v>
      </x:c>
      <x:c r="B1" s="5"/>
      <x:c r="C1" s="5"/>
      <x:c r="D1" s="5"/>
    </x:row>
    <x:row r="3">
      <x:c r="A3" s="21" t="str">
        <x:v>分类</x:v>
      </x:c>
      <x:c r="B3" s="21" t="str">
        <x:v>主要回答</x:v>
      </x:c>
      <x:c r="C3" s="21" t="str">
        <x:v>本类可以提及</x:v>
      </x:c>
      <x:c r="D3" s="21" t="str">
        <x:v>本类不展开</x:v>
      </x:c>
    </x:row>
    <x:row r="4" ht="55" customHeight="1">
      <x:c r="A4" s="151" t="str">
        <x:v>人设图鉴</x:v>
      </x:c>
      <x:c r="B4" s="117" t="str">
        <x:v>这个公开形象展示了什么、通常省略什么、为什么可信</x:v>
      </x:c>
      <x:c r="C4" s="117" t="str">
        <x:v>自我呈现、个人品牌、真实性、公开身份</x:v>
      </x:c>
      <x:c r="D4" s="118" t="str">
        <x:v>具体修图方法、算法技术、操作训练</x:v>
      </x:c>
    </x:row>
    <x:row r="5" ht="55" customHeight="1">
      <x:c r="A5" s="152" t="str">
        <x:v>焦虑类型解释</x:v>
      </x:c>
      <x:c r="B5" s="120" t="str">
        <x:v>观看后为什么会焦虑，涉及哪些心理与平台机制</x:v>
      </x:c>
      <x:c r="C5" s="120" t="str">
        <x:v>人设可能成为触发场景</x:v>
      </x:c>
      <x:c r="D5" s="121" t="str">
        <x:v>逐类分析人设的展示结构</x:v>
      </x:c>
    </x:row>
    <x:row r="6" ht="55" customHeight="1">
      <x:c r="A6" s="152" t="str">
        <x:v>社交媒体套路拆解</x:v>
      </x:c>
      <x:c r="B6" s="120" t="str">
        <x:v>内容通过什么包装、剪辑、推荐和商业机制呈现</x:v>
      </x:c>
      <x:c r="C6" s="120" t="str">
        <x:v>某种人设使用了选择性展示</x:v>
      </x:c>
      <x:c r="D6" s="121" t="str">
        <x:v>对发布者人格和真实生活作判断</x:v>
      </x:c>
    </x:row>
    <x:row r="7" ht="55" customHeight="1">
      <x:c r="A7" s="152" t="str">
        <x:v>CBT / 心理学方法</x:v>
      </x:c>
      <x:c r="B7" s="120" t="str">
        <x:v>如何识别和调整自动想法及认知偏差</x:v>
      </x:c>
      <x:c r="C7" s="120" t="str">
        <x:v>人设是练习中的触发材料</x:v>
      </x:c>
      <x:c r="D7" s="121" t="str">
        <x:v>给每类人设配置完整治疗步骤</x:v>
      </x:c>
    </x:row>
    <x:row r="8" ht="55" customHeight="1">
      <x:c r="A8" s="152" t="str">
        <x:v>情绪急救步骤</x:v>
      </x:c>
      <x:c r="B8" s="120" t="str">
        <x:v>被内容触发后，几分钟内如何稳定状态</x:v>
      </x:c>
      <x:c r="C8" s="120" t="str">
        <x:v>指出某类内容可能触发情绪</x:v>
      </x:c>
      <x:c r="D8" s="121" t="str">
        <x:v>解释人设形成史或品牌策略</x:v>
      </x:c>
    </x:row>
    <x:row r="9" ht="55" customHeight="1">
      <x:c r="A9" s="152" t="str">
        <x:v>行动建议库</x:v>
      </x:c>
      <x:c r="B9" s="120" t="str">
        <x:v>如何调整关注、通知、时间与使用边界</x:v>
      </x:c>
      <x:c r="C9" s="120" t="str">
        <x:v>基于人设识别选择关注内容</x:v>
      </x:c>
      <x:c r="D9" s="121" t="str">
        <x:v>把人设条目写成屏蔽和戒断指南</x:v>
      </x:c>
    </x:row>
    <x:row r="10" ht="55" customHeight="1">
      <x:c r="A10" s="152" t="str">
        <x:v>自我安抚 / 反比较训练</x:v>
      </x:c>
      <x:c r="B10" s="120" t="str">
        <x:v>如何长期减少比较与自我攻击</x:v>
      </x:c>
      <x:c r="C10" s="120" t="str">
        <x:v>区分公开形象与完整人生</x:v>
      </x:c>
      <x:c r="D10" s="121" t="str">
        <x:v>分析具体网红的商业呈现</x:v>
      </x:c>
    </x:row>
    <x:row r="11" ht="55" customHeight="1">
      <x:c r="A11" s="153" t="str">
        <x:v>典型案例</x:v>
      </x:c>
      <x:c r="B11" s="123" t="str">
        <x:v>虚构人物如何被某类内容触发并完成调整</x:v>
      </x:c>
      <x:c r="C11" s="123" t="str">
        <x:v>引用某一种人设作为案例环境</x:v>
      </x:c>
      <x:c r="D11" s="124" t="str">
        <x:v>把现实账号写成负面案例</x:v>
      </x:c>
    </x:row>
  </x:sheetData>
  <x:mergeCells>
    <x:mergeCell ref="A1:D1"/>
  </x:mergeCells>
  <x:pageMargins left="0.7" right="0.7" top="0.75" bottom="0.75" header="0.3" footer="0.3"/>
</x:worksheet>
</file>

<file path=xl/worksheets/sheet5.xml><?xml version="1.0" encoding="utf-8"?>
<x:worksheet xmlns:x="http://schemas.openxmlformats.org/spreadsheetml/2006/main">
  <x:sheetFormatPr defaultRowHeight="15"/>
  <x:cols>
    <x:col min="1" max="1" width="31" hidden="0" customWidth="1"/>
    <x:col min="2" max="2" width="16" hidden="0" customWidth="1"/>
    <x:col min="3" max="3" width="16" hidden="0" customWidth="1"/>
    <x:col min="4" max="4" width="46" hidden="0" customWidth="1"/>
  </x:cols>
  <x:sheetData>
    <x:row r="1" ht="32" customHeight="1">
      <x:c r="A1" s="5" t="str">
        <x:v>知识库质量检查｜人设图鉴</x:v>
      </x:c>
      <x:c r="B1" s="5"/>
      <x:c r="C1" s="5"/>
      <x:c r="D1" s="5"/>
    </x:row>
    <x:row r="3">
      <x:c r="A3" s="21" t="str">
        <x:v>检查项目</x:v>
      </x:c>
      <x:c r="B3" s="21" t="str">
        <x:v>结果</x:v>
      </x:c>
      <x:c r="C3" s="21" t="str">
        <x:v>状态</x:v>
      </x:c>
      <x:c r="D3" s="21" t="str">
        <x:v>标准 / 说明</x:v>
      </x:c>
    </x:row>
    <x:row r="4" ht="28" customHeight="1">
      <x:c r="A4" s="187" t="str">
        <x:v>正式条目总数</x:v>
      </x:c>
      <x:c r="B4" s="193" t="n">
        <x:f>COUNTA('导入表'!A4:A23)</x:f>
        <x:v>20</x:v>
      </x:c>
      <x:c r="C4" s="193" t="str">
        <x:f>IF(B4=20,"通过","需检查")</x:f>
        <x:v>通过</x:v>
      </x:c>
      <x:c r="D4" s="171" t="str">
        <x:v>本版目标：20 条</x:v>
      </x:c>
    </x:row>
    <x:row r="5" ht="28" customHeight="1">
      <x:c r="A5" s="188" t="str">
        <x:v>空标题数量</x:v>
      </x:c>
      <x:c r="B5" s="194" t="n">
        <x:f>COUNTIF('导入表'!A4:A23,"")</x:f>
        <x:v>0</x:v>
      </x:c>
      <x:c r="C5" s="194" t="str">
        <x:f>IF(B5=0,"通过","需修正")</x:f>
        <x:v>通过</x:v>
      </x:c>
      <x:c r="D5" s="174" t="str">
        <x:v>必须为 0</x:v>
      </x:c>
    </x:row>
    <x:row r="6" ht="28" customHeight="1">
      <x:c r="A6" s="188" t="str">
        <x:v>空正文数量</x:v>
      </x:c>
      <x:c r="B6" s="194" t="n">
        <x:f>COUNTIF('导入表'!C4:C23,"")</x:f>
        <x:v>0</x:v>
      </x:c>
      <x:c r="C6" s="194" t="str">
        <x:f>IF(B6=0,"通过","需修正")</x:f>
        <x:v>通过</x:v>
      </x:c>
      <x:c r="D6" s="174" t="str">
        <x:v>必须为 0</x:v>
      </x:c>
    </x:row>
    <x:row r="7" ht="28" customHeight="1">
      <x:c r="A7" s="188" t="str">
        <x:v>分类名称不一致数量</x:v>
      </x:c>
      <x:c r="B7" s="194" t="n">
        <x:f>COUNTIF('导入表'!B4:B23,"&lt;&gt;人设图鉴")</x:f>
        <x:v>0</x:v>
      </x:c>
      <x:c r="C7" s="194" t="str">
        <x:f>IF(B7=0,"通过","需修正")</x:f>
        <x:v>通过</x:v>
      </x:c>
      <x:c r="D7" s="174" t="str">
        <x:v>必须为 0</x:v>
      </x:c>
    </x:row>
    <x:row r="8" ht="28" customHeight="1">
      <x:c r="A8" s="188" t="str">
        <x:v>首页推荐数量</x:v>
      </x:c>
      <x:c r="B8" s="194" t="n">
        <x:f>COUNTIF('导入表'!G4:G23,"是")</x:f>
        <x:v>4</x:v>
      </x:c>
      <x:c r="C8" s="194" t="str">
        <x:f>IF(AND(B8&gt;=B4*15%,B8&lt;=B4*25%),"通过","需调整")</x:f>
        <x:v>通过</x:v>
      </x:c>
      <x:c r="D8" s="174" t="str">
        <x:v>建议占总数 15%—25%</x:v>
      </x:c>
    </x:row>
    <x:row r="9" ht="28" customHeight="1">
      <x:c r="A9" s="188" t="str">
        <x:v>首页推荐占比</x:v>
      </x:c>
      <x:c r="B9" s="199" t="n">
        <x:f>B8/B4</x:f>
        <x:v>0.2</x:v>
      </x:c>
      <x:c r="C9" s="194" t="str">
        <x:f>IF(AND(B9&gt;=15%,B9&lt;=25%),"通过","需调整")</x:f>
        <x:v>通过</x:v>
      </x:c>
      <x:c r="D9" s="174" t="str">
        <x:v>建议 15%—25%</x:v>
      </x:c>
    </x:row>
    <x:row r="10" ht="28" customHeight="1">
      <x:c r="A10" s="188" t="str">
        <x:v>无效推荐值数量</x:v>
      </x:c>
      <x:c r="B10" s="194" t="n">
        <x:f>COUNTIF('导入表'!G4:G23,"&lt;&gt;是")-COUNTIF('导入表'!G4:G23,"否")</x:f>
        <x:v>0</x:v>
      </x:c>
      <x:c r="C10" s="194" t="str">
        <x:f>IF(B10=0,"通过","需修正")</x:f>
        <x:v>通过</x:v>
      </x:c>
      <x:c r="D10" s="174" t="str">
        <x:v>只能为“是”或“否”</x:v>
      </x:c>
    </x:row>
    <x:row r="11" ht="28" customHeight="1">
      <x:c r="A11" s="188" t="str">
        <x:v>重复标题数量</x:v>
      </x:c>
      <x:c r="B11" s="194" t="n">
        <x:v>0</x:v>
      </x:c>
      <x:c r="C11" s="194" t="str">
        <x:f>IF(B11=0,"通过","需修正")</x:f>
        <x:v>通过</x:v>
      </x:c>
      <x:c r="D11" s="174" t="str">
        <x:v>必须为 0</x:v>
      </x:c>
    </x:row>
    <x:row r="12" ht="28" customHeight="1">
      <x:c r="A12" s="188" t="str">
        <x:v>标题最大长度</x:v>
      </x:c>
      <x:c r="B12" s="194" t="n">
        <x:v>14</x:v>
      </x:c>
      <x:c r="C12" s="194" t="str">
        <x:f>IF(B12&lt;=60,"通过","需修正")</x:f>
        <x:v>通过</x:v>
      </x:c>
      <x:c r="D12" s="174" t="str">
        <x:v>≤60 字</x:v>
      </x:c>
    </x:row>
    <x:row r="13" ht="28" customHeight="1">
      <x:c r="A13" s="188" t="str">
        <x:v>正文最短长度</x:v>
      </x:c>
      <x:c r="B13" s="194" t="n">
        <x:v>429</x:v>
      </x:c>
      <x:c r="C13" s="194" t="str">
        <x:f>IF(B13&gt;=400,"通过","需检查")</x:f>
        <x:v>通过</x:v>
      </x:c>
      <x:c r="D13" s="174" t="str">
        <x:v>本版约 400 字以上</x:v>
      </x:c>
    </x:row>
    <x:row r="14" ht="28" customHeight="1">
      <x:c r="A14" s="188" t="str">
        <x:v>正文最大长度</x:v>
      </x:c>
      <x:c r="B14" s="194" t="n">
        <x:v>536</x:v>
      </x:c>
      <x:c r="C14" s="194" t="str">
        <x:f>IF(B14&lt;=5000,"通过","需修正")</x:f>
        <x:v>通过</x:v>
      </x:c>
      <x:c r="D14" s="174" t="str">
        <x:v>≤5000 字</x:v>
      </x:c>
    </x:row>
    <x:row r="15" ht="28" customHeight="1">
      <x:c r="A15" s="188" t="str">
        <x:v>单条最多标签数</x:v>
      </x:c>
      <x:c r="B15" s="194" t="n">
        <x:v>4</x:v>
      </x:c>
      <x:c r="C15" s="194" t="str">
        <x:f>IF(B15&lt;=5,"通过","需修正")</x:f>
        <x:v>通过</x:v>
      </x:c>
      <x:c r="D15" s="174" t="str">
        <x:v>≤5 个</x:v>
      </x:c>
    </x:row>
    <x:row r="16" ht="28" customHeight="1">
      <x:c r="A16" s="188" t="str">
        <x:v>最长单个标签</x:v>
      </x:c>
      <x:c r="B16" s="194" t="n">
        <x:v>10</x:v>
      </x:c>
      <x:c r="C16" s="194" t="str">
        <x:f>IF(B16&lt;=10,"通过","需修正")</x:f>
        <x:v>通过</x:v>
      </x:c>
      <x:c r="D16" s="174" t="str">
        <x:v>≤10 字</x:v>
      </x:c>
    </x:row>
    <x:row r="17" ht="28" customHeight="1">
      <x:c r="A17" s="188" t="str">
        <x:v>适用场景最大长度</x:v>
      </x:c>
      <x:c r="B17" s="194" t="n">
        <x:v>41</x:v>
      </x:c>
      <x:c r="C17" s="194" t="str">
        <x:f>IF(B17&lt;=200,"通过","需修正")</x:f>
        <x:v>通过</x:v>
      </x:c>
      <x:c r="D17" s="174" t="str">
        <x:v>≤200 字</x:v>
      </x:c>
    </x:row>
    <x:row r="18" ht="28" customHeight="1">
      <x:c r="A18" s="189" t="str">
        <x:v>来源说明最大长度</x:v>
      </x:c>
      <x:c r="B18" s="195" t="n">
        <x:v>81</x:v>
      </x:c>
      <x:c r="C18" s="195" t="str">
        <x:f>IF(B18&lt;=200,"通过","需修正")</x:f>
        <x:v>通过</x:v>
      </x:c>
      <x:c r="D18" s="177" t="str">
        <x:v>≤200 字</x:v>
      </x:c>
    </x:row>
  </x:sheetData>
  <x:mergeCells>
    <x:mergeCell ref="A1:D1"/>
  </x:mergeCells>
  <x:conditionalFormatting sqref="C4:C18">
    <x:cfRule type="expression" dxfId="1" priority="1">
      <x:formula>C4="通过"</x:formula>
    </x:cfRule>
    <x:cfRule type="expression" dxfId="2" priority="2">
      <x:formula>C4&lt;&gt;"通过"</x:formula>
    </x:cfRule>
  </x:conditionalFormatting>
  <x:pageMargins left="0.7" right="0.7" top="0.75" bottom="0.75" header="0.3" footer="0.3"/>
</x:worksheet>
</file>