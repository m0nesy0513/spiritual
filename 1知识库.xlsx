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9d38d06cb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fc4c532f96854fa5"/>
    <x:sheet xmlns:r="http://schemas.openxmlformats.org/officeDocument/2006/relationships" name="来源索引" sheetId="2" r:id="R1a5b860616424a4b"/>
    <x:sheet xmlns:r="http://schemas.openxmlformats.org/officeDocument/2006/relationships" name="质量检查" sheetId="3" r:id="R2e3c8b0d71ec4778"/>
    <x:sheet xmlns:r="http://schemas.openxmlformats.org/officeDocument/2006/relationships" name="修订说明" sheetId="4" r:id="R4193566a2007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4A5B"/>
      <x:name val="Carlito"/>
    </x:font>
    <x:font>
      <x:b/>
      <x:sz val="11"/>
      <x:color rgb="FFFFFFFF"/>
      <x:name val="Carlito"/>
    </x:font>
    <x:font>
      <x:sz val="10"/>
      <x:color rgb="FF172B34"/>
      <x:name val="Carlito"/>
    </x:font>
    <x:font>
      <x:b/>
      <x:sz val="10"/>
      <x:color rgb="FF174A5B"/>
      <x:name val="Carlito"/>
    </x:font>
    <x:font>
      <x:b/>
      <x:sz val="11"/>
      <x:color rgb="FF174A5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DDF3E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8c99208624b96" /><Relationship Type="http://schemas.openxmlformats.org/officeDocument/2006/relationships/theme" Target="/xl/theme/theme1.xml" Id="R6645fc84b6824a9e" /><Relationship Type="http://schemas.openxmlformats.org/officeDocument/2006/relationships/sharedStrings" Target="/xl/sharedStrings.xml" Id="R3c4dfc4a759b4bfd" /><Relationship Type="http://schemas.openxmlformats.org/officeDocument/2006/relationships/worksheet" Target="/xl/worksheets/sheet1.xml" Id="Rfc4c532f96854fa5" /><Relationship Type="http://schemas.openxmlformats.org/officeDocument/2006/relationships/worksheet" Target="/xl/worksheets/sheet2.xml" Id="R1a5b860616424a4b" /><Relationship Type="http://schemas.openxmlformats.org/officeDocument/2006/relationships/worksheet" Target="/xl/worksheets/sheet3.xml" Id="R2e3c8b0d71ec4778" /><Relationship Type="http://schemas.openxmlformats.org/officeDocument/2006/relationships/worksheet" Target="/xl/worksheets/sheet4.xml" Id="R4193566a20074ccf" /></Relationships>
</file>

<file path=xl/tables/table1.xml><?xml version="1.0" encoding="utf-8"?>
<x:table xmlns:x="http://schemas.openxmlformats.org/spreadsheetml/2006/main" id="1" name="KnowledgeImportTable" displayName="KnowledgeImportTable" ref="A3:G33" headerRowCount="1">
  <x:tableColumns count="7">
    <x:tableColumn id="1" name="title"/>
    <x:tableColumn id="2" name="category"/>
    <x:tableColumn id="3" name="body"/>
    <x:tableColumn id="4" name="tags"/>
    <x:tableColumn id="5" name="applicable_scene"/>
    <x:tableColumn id="6" name="source_note"/>
    <x:tableColumn id="7" name="is_home_recommended"/>
  </x:tableColumns>
  <x:tableStyleInfo name="TableStyleMedium2" showRowStripes="1"/>
</x:table>
</file>

<file path=xl/tables/table2.xml><?xml version="1.0" encoding="utf-8"?>
<x:table xmlns:x="http://schemas.openxmlformats.org/spreadsheetml/2006/main" id="2" name="SourceIndexTable" displayName="SourceIndexTable" ref="A3:G42" headerRowCount="1">
  <x:tableColumns count="7">
    <x:tableColumn id="1" name="编号"/>
    <x:tableColumn id="2" name="作者 / 年份"/>
    <x:tableColumn id="3" name="完整题名"/>
    <x:tableColumn id="4" name="期刊 / 来源"/>
    <x:tableColumn id="5" name="证据类型"/>
    <x:tableColumn id="6" name="主要支持主题"/>
    <x:tableColumn id="7" name="DOI / 稳定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071ef7904842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f650332fcd44f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76" hidden="0" customWidth="1"/>
    <x:col min="4" max="4" width="28" hidden="0" customWidth="1"/>
    <x:col min="5" max="5" width="44" hidden="0" customWidth="1"/>
    <x:col min="6" max="6" width="52" hidden="0" customWidth="1"/>
    <x:col min="7" max="7" width="18" hidden="0" customWidth="1"/>
  </x:cols>
  <x:sheetData>
    <x:row r="1" ht="32" customHeight="1">
      <x:c r="A1" s="5" t="str">
        <x:v>社交媒体焦虑知识库｜焦虑类型解释（修订版）</x:v>
      </x:c>
      <x:c r="B1" s="5"/>
      <x:c r="C1" s="5"/>
      <x:c r="D1" s="5"/>
      <x:c r="E1" s="5"/>
      <x:c r="F1" s="5"/>
      <x:c r="G1" s="5"/>
    </x:row>
    <x:row r="2" ht="28" customHeight="1">
      <x:c r="A2" s="13" t="str">
        <x:v>共 30 条；正文为 Markdown；category 固定为“焦虑类型解释”；首页推荐 6 条（20%）。</x:v>
      </x:c>
      <x:c r="B2" s="13"/>
      <x:c r="C2" s="13"/>
      <x:c r="D2" s="13"/>
      <x:c r="E2" s="13"/>
      <x:c r="F2" s="13"/>
      <x:c r="G2" s="13"/>
    </x:row>
    <x:row r="3" ht="32" customHeight="1">
      <x:c r="A3" s="21" t="str">
        <x:v>title</x:v>
      </x:c>
      <x:c r="B3" s="21" t="str">
        <x:v>category</x:v>
      </x:c>
      <x:c r="C3" s="21" t="str">
        <x:v>body</x:v>
      </x:c>
      <x:c r="D3" s="21" t="str">
        <x:v>tags</x:v>
      </x:c>
      <x:c r="E3" s="21" t="str">
        <x:v>applicable_scene</x:v>
      </x:c>
      <x:c r="F3" s="21" t="str">
        <x:v>source_note</x:v>
      </x:c>
      <x:c r="G3" s="21" t="str">
        <x:v>is_home_recommended</x:v>
      </x:c>
    </x:row>
    <x:row r="4" ht="118" customHeight="1">
      <x:c r="A4" s="80" t="str">
        <x:v>社交媒体中的向上社会比较焦虑</x:v>
      </x:c>
      <x:c r="B4" s="86" t="str">
        <x:v>焦虑类型解释</x:v>
      </x:c>
      <x:c r="C4" s="45" t="str">
        <x:v>## 这是什么
向上社会比较，是把自己与看起来更成功、更受欢迎或生活条件更好的人比较。社交媒体让这种比较变得频繁、快速而且难以回避；当比较结果被解释为“我不如别人”时，可能出现自卑、焦虑或失落。
## 它通常怎样被触发
浏览熟人或陌生人的升学、工作、收入、旅行、外貌和社交成果时，尤其是在自己正经历挫折、疲惫或低自我评价的阶段。
## 为什么社交媒体会放大它
动态通常呈现经过选择的片段，比较者却容易拿自己的完整生活与别人的可展示部分相比。推荐流还会连续聚合相似的高光内容，使少数突出案例看起来像普遍水平。研究总体支持向上比较与更消极的自我评价有关，但影响存在明显个体差异。
**关键认知：**
- 被展示出来的高光不等于对方生活的平均状态
- 产生羡慕或落差感是常见心理反应，不等于品格有问题
- 社交媒体的影响取决于内容、比较方式和个人当时状态
## 常见表现
- 反复想“别人都比我过得好”
- 刷完动态后对自己的能力或生活产生否定
- 继续查看比较对象，以确认自己到底落后多少
## 需要注意
研究常报告平均关联，不能据此判断每个用户都会受到负面影响，也不能把一次比较后的难受直接等同于临床焦虑。</x:v>
      </x:c>
      <x:c r="D4" s="45" t="str">
        <x:v>社会比较,向上比较,自我评价,高光展示</x:v>
      </x:c>
      <x:c r="E4" s="45" t="str">
        <x:v>刷到他人的成功、外貌或生活成果后，开始用单一维度否定自己的整体价值时。</x:v>
      </x:c>
      <x:c r="F4" s="45" t="str">
        <x:v>参考：Vogel等，2014《Social Comparison, Social Media, and Self-Esteem》；McComb等，2023向上比较元分析。</x:v>
      </x:c>
      <x:c r="G4" s="92" t="str">
        <x:v>是</x:v>
      </x:c>
    </x:row>
    <x:row r="5" ht="118" customHeight="1">
      <x:c r="A5" s="81" t="str">
        <x:v>创作者数据波动与可见性不确定压力</x:v>
      </x:c>
      <x:c r="B5" s="87" t="str">
        <x:v>焦虑类型解释</x:v>
      </x:c>
      <x:c r="C5" s="48" t="str">
        <x:v>## 这是什么
创作者可见性压力，是内容发布者因播放量、推荐量、互动量和变现结果不稳定，而持续担心“内容是否还能被看见”的状态。它不只是对数字本身的在意，也可能涉及收入、职业身份和持续创作能力。
## 它通常怎样被触发
作品投入较多却获得很少推荐，平台规则调整后流量突然变化，或看到其他创作者讨论“限流”“权重下降”时。
## 为什么社交媒体会放大它
推荐系统通常不完全透明，创作者很难准确知道某次数据变化来自内容质量、受众变化、竞争、发布时间还是平台调整。研究者用“可见性劳动”和“算法传闻”描述创作者为理解和适应算法而投入的持续劳动；这种不可预测性可能增加控制感不足。
**关键认知：**
- 低数据不能单独证明内容失去价值或账号被处罚
- 算法会影响可见性，但不会单独决定作品长期价值
- 该主题的研究多为平台与劳动研究，不能直接推断所有创作者都会出现心理障碍
## 常见表现
- 发布后频繁刷新数据面板
- 根据零散经验不断修改发布时间和内容形式
- 把短期流量下降解释为个人能力全面退步
## 需要注意
现有证据较多来自定性研究，能够说明创作者如何感受和应对算法不确定性，但不宜把它描述成经过统一诊断的“算法焦虑症”。</x:v>
      </x:c>
      <x:c r="D5" s="48" t="str">
        <x:v>创作者,算法可见性,数据波动,控制感</x:v>
      </x:c>
      <x:c r="E5" s="48" t="str">
        <x:v>内容发布后数据异常低迷，开始把流量波动等同于个人能力或职业前途时。</x:v>
      </x:c>
      <x:c r="F5" s="48" t="str">
        <x:v>参考：Cotter，2019《Playing the Visibility Game》；Bishop，2019《Managing Visibility on YouTube Through Algorithmic Gossip》。</x:v>
      </x:c>
      <x:c r="G5" s="93" t="str">
        <x:v>否</x:v>
      </x:c>
    </x:row>
    <x:row r="6" ht="118" customHeight="1">
      <x:c r="A6" s="81" t="str">
        <x:v>同龄人人生进度比较焦虑</x:v>
      </x:c>
      <x:c r="B6" s="87" t="str">
        <x:v>焦虑类型解释</x:v>
      </x:c>
      <x:c r="C6" s="48" t="str">
        <x:v>## 这是什么
人生进度比较焦虑，是把结婚、就业、升职、买房、生育等节点看作统一时间表，并用同龄人的公开进展判断自己是否“落后”。它主要来自社会比较和年龄规范，而不是某个公认的客观人生进度条。
## 它通常怎样被触发
在毕业季、生日、节日或求职阶段，集中看到同学和朋友公布录取、升职、订婚、买房或生育消息时。
## 为什么社交媒体会放大它
社交媒体会把不同人的不同里程碑压缩在同一个信息流里。用户可能在一天内看到多个人各自最突出的进展，却忽略这些成果来自不同条件、不同年份和不同代价。由此形成的参照群体并不真实，却容易制造“所有人都在前进”的印象。
**关键认知：**
- 人生节点并不存在适用于所有人的统一顺序和速度
- 信息流把许多人的单项成果叠加成了一个不存在的“完美同龄人”
- 落后感可能反映参照标准改变，而不是现实生活突然恶化
## 常见表现
- 看到同龄人进展后心慌或羞耻
- 频繁搜索某年龄应该达到什么水平
- 把暂时停顿解释为整个人生失败
## 需要注意
该名称是便于理解的描述，不是正式诊断。其机制主要来自社会比较研究，对具体人生节点的影响还会受到文化、家庭和经济环境影响。</x:v>
      </x:c>
      <x:c r="D6" s="48" t="str">
        <x:v>同龄人,人生进度,社会时钟,里程碑</x:v>
      </x:c>
      <x:c r="E6" s="48" t="str">
        <x:v>连续看到同龄人升学、成家或置业后，感觉自己的人生已经来不及了。</x:v>
      </x:c>
      <x:c r="F6" s="48" t="str">
        <x:v>参考：McComb等，2023向上比较元分析；Meier与Johnson，2022社交媒体比较与嫉妒综述。</x:v>
      </x:c>
      <x:c r="G6" s="93" t="str">
        <x:v>否</x:v>
      </x:c>
    </x:row>
    <x:row r="7" ht="118" customHeight="1">
      <x:c r="A7" s="81" t="str">
        <x:v>学业表现比较焦虑</x:v>
      </x:c>
      <x:c r="B7" s="87" t="str">
        <x:v>焦虑类型解释</x:v>
      </x:c>
      <x:c r="C7" s="48" t="str">
        <x:v>## 这是什么
学业表现比较焦虑，是在看到他人的成绩、学习时长、录取结果或备考计划后，对自己的能力和进度产生持续怀疑。焦虑往往不只来自差距本身，还来自把他人的展示当成完整、可复制的学习标准。
## 它通常怎样被触发
期末周、考研考公或申请季，刷到高分截图、长时间学习记录、“一次上岸”经验和高度精细的计划表时。
## 为什么社交媒体会放大它
学习成果适合被数字化展示，困难、走神、失败和反复修改却较少被公开。社交媒体还方便用户主动寻找同龄人的成绩和评价，强化比较与反馈寻求。青少年研究发现，技术媒介中的社会比较和反馈寻求与更高的抑郁症状相关，但研究不能说明比较必然导致心理问题。
**关键认知：**
- 学习时长和结果截图无法完整反映学习条件与过程
- 比较可以提供信息，也可能在低自我评价时被解释成能力判决
- 一次成绩或一段低效期不等于稳定的学业能力
## 常见表现
- 反复计算自己与他人的差距
- 看到高分内容后难以继续学习
- 制定明显超出实际精力的计划来追赶
## 需要注意
它与一般考试焦虑、完美主义和现实学业压力可能同时存在。仅凭社交媒体触发场景不能确定主要原因。</x:v>
      </x:c>
      <x:c r="D7" s="48" t="str">
        <x:v>学业比较,备考焦虑,反馈寻求,自我效能</x:v>
      </x:c>
      <x:c r="E7" s="48" t="str">
        <x:v>复习受挫时刷到大量高分和高强度学习记录，开始怀疑自己的智力或学习资格。</x:v>
      </x:c>
      <x:c r="F7" s="48" t="str">
        <x:v>参考：Nesi与Prinstein，2015，技术媒介中的社会比较与反馈寻求研究；Vogel等，2014。</x:v>
      </x:c>
      <x:c r="G7" s="93" t="str">
        <x:v>否</x:v>
      </x:c>
    </x:row>
    <x:row r="8" ht="118" customHeight="1">
      <x:c r="A8" s="81" t="str">
        <x:v>职业成就比较焦虑</x:v>
      </x:c>
      <x:c r="B8" s="87" t="str">
        <x:v>焦虑类型解释</x:v>
      </x:c>
      <x:c r="C8" s="48" t="str">
        <x:v>## 这是什么
职业成就比较焦虑，是在社交平台看到他人的职位、项目、薪资线索或职业荣誉后，对自身能力、发展速度和就业安全产生不安。它常见于求职、转行和职业停滞期。
## 它通常怎样被触发
浏览同龄人的入职公告、晋升消息、获奖经历、行业影响力和“职业复盘”内容时，尤其是在自己求职失败或工作受挫之后。
## 为什么社交媒体会放大它
职业平台和普通社交平台都鼓励呈现可被认可的成果，而日常重复劳动、运气因素、资源支持和失败经历较少被展示。用户容易把多个不同人的最强项组合成一个过高标准，再用它评判自己的整个职业生涯。
**关键认知：**
- 职业动态主要是公开履历，不是完整工作体验
- 招聘与晋升受行业周期、机会和关系网络等多因素影响
- 比较后的焦虑可能来自现实压力与线上参照共同作用
## 常见表现
- 不断修改个人简介以显得更优秀
- 看到他人晋升后否定自己的专业能力
- 频繁查看行业动态却更难开始实际任务
## 需要注意
针对具体职业平台的直接心理学证据仍有限。本条主要依据社会比较、自我呈现和反馈寻求研究进行谨慎解释。</x:v>
      </x:c>
      <x:c r="D8" s="48" t="str">
        <x:v>职业比较,成就焦虑,求职,自我呈现</x:v>
      </x:c>
      <x:c r="E8" s="48" t="str">
        <x:v>求职或工作遇到瓶颈时，看到同龄人的职业捷报后产生明显的淘汰感。</x:v>
      </x:c>
      <x:c r="F8" s="48" t="str">
        <x:v>参考：McComb等，2023向上社会比较元分析；Vogel等，2014社交媒体比较与自尊研究。</x:v>
      </x:c>
      <x:c r="G8" s="93" t="str">
        <x:v>否</x:v>
      </x:c>
    </x:row>
    <x:row r="9" ht="118" customHeight="1">
      <x:c r="A9" s="81" t="str">
        <x:v>消费与生活方式比较焦虑</x:v>
      </x:c>
      <x:c r="B9" s="87" t="str">
        <x:v>焦虑类型解释</x:v>
      </x:c>
      <x:c r="C9" s="48" t="str">
        <x:v>## 这是什么
消费与生活方式比较焦虑，是看到他人展示住房、旅行、餐饮、穿搭或昂贵物品后，觉得自己的生活层级不足，并把这种差距解释为个人失败。它常与相对剥夺感和社会比较有关。
## 它通常怎样被触发
经济压力较大时，连续刷到高消费旅行、奢侈品开箱、精致居住空间或“松弛感生活”内容。
## 为什么社交媒体会放大它
视觉化平台容易让高消费内容获得关注，商业合作和精心布置也可能被误认为普通日常。信息流把不同人的消费高点并列展示，会扩大用户对“正常生活水平”的估计。现有研究支持社交网络增加比较机会，但具体消费焦虑还受到收入、债务和价值观影响。
**关键认知：**
- 看到得多不等于这种生活在现实中更普遍
- 消费展示可能同时包含工作内容、广告和特殊场合
- 焦虑中的“我很贫穷”可能是相对参照变化，不等于客观生活立即恶化
## 常见表现
- 刷完种草内容后对现有物品明显不满
- 为了跟上展示标准而产生超预算冲动
- 把消费能力当作人格价值或社会资格
## 需要注意
本条解释的是比较机制，不判断某次消费是否合理。若已经出现债务或失控购买，需要与单纯的比较情绪分开评估。</x:v>
      </x:c>
      <x:c r="D9" s="48" t="str">
        <x:v>消费比较,生活方式,相对剥夺,种草</x:v>
      </x:c>
      <x:c r="E9" s="48" t="str">
        <x:v>浏览高消费生活内容后，开始觉得自己原本可接受的生活“寒酸、失败或不配”。</x:v>
      </x:c>
      <x:c r="F9" s="48" t="str">
        <x:v>参考：Vogel等，2014；Meier与Johnson，2022社交媒体比较与嫉妒综述。</x:v>
      </x:c>
      <x:c r="G9" s="93" t="str">
        <x:v>否</x:v>
      </x:c>
    </x:row>
    <x:row r="10" ht="118" customHeight="1">
      <x:c r="A10" s="81" t="str">
        <x:v>亲密关系展示比较焦虑</x:v>
      </x:c>
      <x:c r="B10" s="87" t="str">
        <x:v>焦虑类型解释</x:v>
      </x:c>
      <x:c r="C10" s="48" t="str">
        <x:v>## 这是什么
亲密关系展示比较焦虑，是用他人在社交媒体上公开的浪漫互动、礼物、纪念日和家庭生活，衡量自己的恋爱或婚姻质量。比较后可能出现失望、怀疑或对伴侣的不满。
## 它通常怎样被触发
与伴侣刚发生矛盾、关系进入平淡期，或在节日集中看到求婚、礼物和恩爱照片时。
## 为什么社交媒体会放大它
公开内容通常更适合呈现可被观看和点赞的时刻，而关系中的协商、无聊、冲突和修复较少被记录。用户容易把他人的展示结果与自己关系的日常过程相比。社会比较研究能解释这种落差，但单条动态无法证明对方关系真实质量。
**关键认知：**
- 浪漫展示是关系的一部分，不是关系质量的完整测量
- 真实关系的稳定性不能由礼物价格或发帖频率单独判断
- 比较后的不满可能提示现实需求，也可能来自不完整参照
## 常见表现
- 看到别人秀恩爱后突然否定自己的关系
- 要求伴侣复制网上的表达方式
- 反复寻找自己“不被爱”的证据
## 需要注意
不要仅凭比较后的瞬时情绪判断关系是否应当结束。关系本身是否存在问题，需要结合线下互动和长期体验。</x:v>
      </x:c>
      <x:c r="D10" s="48" t="str">
        <x:v>关系比较,恋爱展示,亲密关系,社会比较</x:v>
      </x:c>
      <x:c r="E10" s="48" t="str">
        <x:v>看到他人的浪漫内容后，突然觉得自己的伴侣和关系处处不合格。</x:v>
      </x:c>
      <x:c r="F10" s="48" t="str">
        <x:v>参考：Chou与Edge，2012，Facebook使用与他人生活评价研究；Muise等，2009，Facebook与关系嫉妒研究。</x:v>
      </x:c>
      <x:c r="G10" s="93" t="str">
        <x:v>否</x:v>
      </x:c>
    </x:row>
    <x:row r="11" ht="118" customHeight="1">
      <x:c r="A11" s="81" t="str">
        <x:v>容貌与面部比较焦虑</x:v>
      </x:c>
      <x:c r="B11" s="87" t="str">
        <x:v>焦虑类型解释</x:v>
      </x:c>
      <x:c r="C11" s="48" t="str">
        <x:v>## 这是什么
容貌比较焦虑，是频繁接触高度修饰或符合主流审美的面部图像后，对自己的五官、皮肤和上镜效果产生不满或担忧。外貌比较是社交媒体影响身体意象的重要机制之一。
## 它通常怎样被触发
浏览美妆、穿搭、自拍或颜值评价内容，使用前置摄像头、滤镜和修图功能后再看真实镜像时。
## 为什么社交媒体会放大它
视觉平台提供大量便于直接比较的图像。拍摄角度、光线、筛选和编辑常被隐藏，用户却可能把成片当作他人的自然状态。系统综述和实验研究发现，外貌相关浏览及比较与身体不满意有关，但效应受内容类型和个人比较倾向影响。
**关键认知：**
- 图片质量和现实容貌不是同一概念
- 高频出现的审美形象不代表真实人群分布
- 对外貌的不满可能被比较放大，但不说明外貌本身发生了变化
## 常见表现
- 反复放大照片检查瑕疵
- 离开滤镜后觉得自己难以接受
- 因担心被评价而回避拍照或见人
## 需要注意
身体意象研究呈现的是群体层面关系。若外貌担忧持续占据大量时间、明显影响进食或生活，应交由专业人员进一步评估。</x:v>
      </x:c>
      <x:c r="D11" s="48" t="str">
        <x:v>容貌焦虑,身体意象,外貌比较,视觉平台</x:v>
      </x:c>
      <x:c r="E11" s="48" t="str">
        <x:v>看完高颜值或精修内容后，对自己的真实面部产生强烈厌恶或羞耻。</x:v>
      </x:c>
      <x:c r="F11" s="48" t="str">
        <x:v>参考：Holland与Tiggemann，2016系统综述；Fardouly等，2015实验研究。</x:v>
      </x:c>
      <x:c r="G11" s="93" t="str">
        <x:v>是</x:v>
      </x:c>
    </x:row>
    <x:row r="12" ht="118" customHeight="1">
      <x:c r="A12" s="81" t="str">
        <x:v>身材与健身内容比较焦虑</x:v>
      </x:c>
      <x:c r="B12" s="87" t="str">
        <x:v>焦虑类型解释</x:v>
      </x:c>
      <x:c r="C12" s="48" t="str">
        <x:v>## 这是什么
身材比较焦虑，是看到纤瘦、肌肉或“完美体态”内容后，对自己的体型和运动进度产生不安。它可能表现为身体不满意，也可能把运动从健康活动变成证明价值的考核。
## 它通常怎样被触发
浏览健身打卡、减脂前后对比、体重数据和强调外形结果的“健身灵感”内容时。
## 为什么社交媒体会放大它
身材图像容易被选择、摆姿和编辑，推荐流还可能连续呈现同一种理想体型。研究发现，外貌导向和健身理想内容可能增加外貌比较与身体不满意；但健身内容也可能提供信息或动力，影响并非单向。
**关键认知：**
- 健康、力量和外形是不同维度，不能只用照片判断
- 他人的训练结果受时间、基因、资源和展示方式共同影响
- 同一内容对不同人可能产生激励或压力
## 常见表现
- 频繁称重、量围度并与博主对照
- 因没有快速变化而自责
- 用极端饮食或运动证明自己没有落后
## 需要注意
本条不用于判断饮食失调或运动成瘾。若出现持续限制进食、补偿行为或身体损伤，应及时寻求专业帮助。</x:v>
      </x:c>
      <x:c r="D12" s="48" t="str">
        <x:v>身材比较,健身内容,身体意象,体型焦虑</x:v>
      </x:c>
      <x:c r="E12" s="48" t="str">
        <x:v>刷到大量减脂、增肌或体态对比内容后，开始用单一外形标准否定身体。</x:v>
      </x:c>
      <x:c r="F12" s="48" t="str">
        <x:v>参考：Holland与Tiggemann，2016；Prichard等，2020，Instagram健身灵感图像实验。</x:v>
      </x:c>
      <x:c r="G12" s="93" t="str">
        <x:v>否</x:v>
      </x:c>
    </x:row>
    <x:row r="13" ht="118" customHeight="1">
      <x:c r="A13" s="81" t="str">
        <x:v>自拍编辑与发布后的外貌评价焦虑</x:v>
      </x:c>
      <x:c r="B13" s="87" t="str">
        <x:v>焦虑类型解释</x:v>
      </x:c>
      <x:c r="C13" s="48" t="str">
        <x:v>## 这是什么
自拍评价焦虑，是在拍摄、编辑或发布自拍时，过度担心照片是否足够好看、别人如何评价，以及真实外貌与照片之间是否存在落差。它同时涉及身体意象和负面评价担忧。
## 它通常怎样被触发
反复自拍、修图、选择封面，或发布后等待点赞和评论时。
## 为什么社交媒体会放大它
自拍过程让用户长时间把注意力集中在可被修改的局部特征上。研究综述指出，拍摄和编辑自拍与更差的身体意象可能有关，而单纯发布本身的影响并不完全一致。公开反馈又把外貌评价转化成可见数字，进一步提高自我监控。
**关键认知：**
- 编辑越久不一定越接近“真实”，也可能让注意力更集中于缺点
- 照片反馈同时受关系、活跃度和平台分发影响
- 对照片不满意不等于他人正在负面评价真实的你
## 常见表现
- 拍很多张仍无法选出一张
- 修图后担心线下见面被发现差异
- 发布后持续检查谁点赞或是否有人取消点赞
## 需要注意
它与一般容貌焦虑有重叠，但重点在自拍制作和公开评价过程。研究不能证明所有自拍行为都会损害身体意象。</x:v>
      </x:c>
      <x:c r="D13" s="48" t="str">
        <x:v>自拍,修图,外貌评价,反馈焦虑</x:v>
      </x:c>
      <x:c r="E13" s="48" t="str">
        <x:v>自拍或发布照片时反复修改，既怕不好看又怕修得太多被识破。</x:v>
      </x:c>
      <x:c r="F13" s="48" t="str">
        <x:v>参考：Vandenbosch等，2022《Social Media and Body Image》综述；Burrow与Rainone，2016点赞反馈研究。</x:v>
      </x:c>
      <x:c r="G13" s="93" t="str">
        <x:v>否</x:v>
      </x:c>
    </x:row>
    <x:row r="14" ht="118" customHeight="1">
      <x:c r="A14" s="81" t="str">
        <x:v>害怕错过（FOMO）</x:v>
      </x:c>
      <x:c r="B14" s="87" t="str">
        <x:v>焦虑类型解释</x:v>
      </x:c>
      <x:c r="C14" s="48" t="str">
        <x:v>## 这是什么
害怕错过（Fear of Missing Out，FOMO）是担心别人正在经历有价值的活动、信息或关系，而自己没有参与或不知道。它常伴随持续查看动态、难以离线和对群体归属的担忧。
## 它通常怎样被触发
看到朋友聚会、热门活动、圈内消息，或暂时不能查看手机和社交平台时。
## 为什么社交媒体会放大它
社交媒体把原本不可见的他人活动持续展示出来，也不断提醒用户还有更多内容尚未查看。FOMO研究认为，基本心理需要满足较低的人可能更容易体验这种担忧；但它并不是正式临床诊断，也不能简单归因于“意志力差”。
**关键认知：**
- 错过活动是有限时间下的正常结果，不等于被群体抛弃
- 平台展示的是参与者视角，无法呈现活动中的无聊和成本
- FOMO与问题性使用相关，但两者关系可能相互影响
## 常见表现
- 明明疲惫仍不愿拒绝邀约
- 离线时反复担心群里发生重要事情
- 看到别人聚会后立即检查自己是否被排除
## 需要注意
FOMO是一种连续程度的体验。偶尔遗憾很常见，只有在它持续干扰睡眠、学习或关系时，才需要进一步关注其影响。</x:v>
      </x:c>
      <x:c r="D14" s="48" t="str">
        <x:v>FOMO,害怕错过,归属感,持续查看</x:v>
      </x:c>
      <x:c r="E14" s="48" t="str">
        <x:v>不能参与活动或暂时离线时，强烈担心自己正在错过重要关系和机会。</x:v>
      </x:c>
      <x:c r="F14" s="48" t="str">
        <x:v>参考：Przybylski等，2013，FoMO量表与相关研究；Gupta与Sharma，2021综述。</x:v>
      </x:c>
      <x:c r="G14" s="93" t="str">
        <x:v>是</x:v>
      </x:c>
    </x:row>
    <x:row r="15" ht="118" customHeight="1">
      <x:c r="A15" s="81" t="str">
        <x:v>未被邀请或被在线排除的归属焦虑</x:v>
      </x:c>
      <x:c r="B15" s="87" t="str">
        <x:v>焦虑类型解释</x:v>
      </x:c>
      <x:c r="C15" s="48" t="str">
        <x:v>## 这是什么
在线排除焦虑，是在社交媒体中没有收到邀请、互动或可见反馈时，感觉自己被群体忽视或排斥。它与FOMO不同：FOMO强调错过活动，在线排除更强调“别人是否有意不接纳我”。
## 它通常怎样被触发
看到朋友聚会却没有自己、发言无人回应、互动明显少于其他成员，或在模拟社交平台中被忽略时。
## 为什么社交媒体会放大它
线上缺乏语气和情境线索，沉默的原因很难判断。实验研究显示，在线被排除会暂时威胁归属感、自尊和存在感；但现实场景中的无反馈也可能来自信息过载、责任分散或时间不合适。
**关键认知：**
- 没有反馈不能自动证明对方有意排斥
- 在线沉默容易让人用最负面的原因补全信息空白
- 排除感是真实体验，但对事件原因的解释仍可能不准确
## 常见表现
- 反复回看谁互动、谁没有互动
- 把一次冷场扩大为整个群体都讨厌自己
- 为了测试关系而发更多内容或突然退出群聊
## 需要注意
实验结果说明排除体验可能带来短期痛苦，不代表每次低互动都构成霸凌或真实关系终止。</x:v>
      </x:c>
      <x:c r="D15" s="48" t="str">
        <x:v>在线排斥,归属焦虑,群体互动,无反馈</x:v>
      </x:c>
      <x:c r="E15" s="48" t="str">
        <x:v>发现他人共同活动中没有自己，或发言长期无人回应，开始确信自己被整个圈子排斥。</x:v>
      </x:c>
      <x:c r="F15" s="48" t="str">
        <x:v>参考：Schneider等，2017《Social Media Ostracism》；Lutz与Schneider，2021在线忽视与拒绝研究。</x:v>
      </x:c>
      <x:c r="G15" s="93" t="str">
        <x:v>否</x:v>
      </x:c>
    </x:row>
    <x:row r="16" ht="118" customHeight="1">
      <x:c r="A16" s="81" t="str">
        <x:v>点赞与评论数量带来的评价焦虑</x:v>
      </x:c>
      <x:c r="B16" s="87" t="str">
        <x:v>焦虑类型解释</x:v>
      </x:c>
      <x:c r="C16" s="48" t="str">
        <x:v>## 这是什么
量化反馈焦虑，是把点赞、评论、转发或收藏数量理解为他人对自己人格、外貌或关系价值的评分。当反馈低于预期时，自我评价可能随之波动。
## 它通常怎样被触发
发布照片、观点或生活动态后，持续等待反馈，或把本次数据与自己过去及他人的数据比较时。
## 为什么社交媒体会放大它
社交媒体把模糊的人际反应转换成即时、可见的数字。实验研究发现，获得的点赞数量可以影响当下自尊，尤其是自我价值较依赖外部肯定的人。不过反馈数量也受发布时间、受众规模和平台展示影响，不能直接等同于接受或拒绝。
**关键认知：**
- 点赞是低成本互动，不是关系质量的完整测量
- 数据较少可能来自内容未被看到，而非他人否定
- 反馈对自尊的影响因个人稳定感和使用情境而异
## 常见表现
- 发布后不断刷新页面
- 低互动时立即删帖或感到羞耻
- 用赞数判断自己是否受欢迎
## 需要注意
量化反馈可能影响短期感受，但不能据此诊断“低自尊”或社交焦虑。需要区分偶尔在意与长期由数据决定自我价值。</x:v>
      </x:c>
      <x:c r="D16" s="48" t="str">
        <x:v>点赞焦虑,量化反馈,评论,条件性自尊</x:v>
      </x:c>
      <x:c r="E16" s="48" t="str">
        <x:v>发帖后反馈少于预期，开始觉得自己不被喜欢或内容令人尴尬。</x:v>
      </x:c>
      <x:c r="F16" s="48" t="str">
        <x:v>参考：Burrow与Rainone，2016《How Many Likes Did I Get?》；Tobin等，2015在线无反馈与归属研究。</x:v>
      </x:c>
      <x:c r="G16" s="93" t="str">
        <x:v>是</x:v>
      </x:c>
    </x:row>
    <x:row r="17" ht="118" customHeight="1">
      <x:c r="A17" s="81" t="str">
        <x:v>发帖前的负面评价焦虑</x:v>
      </x:c>
      <x:c r="B17" s="87" t="str">
        <x:v>焦虑类型解释</x:v>
      </x:c>
      <x:c r="C17" s="48" t="str">
        <x:v>## 这是什么
发帖前评价焦虑，是在分享内容之前，过度担心别人会认为自己奇怪、炫耀、无聊或不专业，因此反复修改、限制可见范围或放弃发布。它属于社交媒体情境中的社会评价担忧。
## 它通常怎样被触发
准备发布自拍、观点、情绪或工作相关内容，且账号中同时存在同学、家人、同事和陌生人时。
## 为什么社交媒体会放大它
公开内容会脱离当下情境并被不同受众解读。社交媒体社交焦虑量表把“共享内容焦虑”视为一个独立维度，说明担心发布内容如何被看待是可测量的体验。评价焦虑可能在真实风险存在时发挥保护作用，但过度时会压缩表达空间。
**关键认知：**
- 谨慎发布不等于虚伪，也可能是合理边界管理
- 不同受众确实可能产生不同理解，但无法预先控制所有解释
- 焦虑关注的是可能评价，不等于负面评价已经发生
## 常见表现
- 一段文字反复修改很多次
- 担心被误解而完全不分享
- 发布后立刻后悔并删除
## 需要注意
它与隐私担忧、情境崩塌和一般社交焦虑相互关联。不能仅根据少发动态判断一个人存在社交障碍。</x:v>
      </x:c>
      <x:c r="D17" s="48" t="str">
        <x:v>发帖焦虑,负面评价,共享内容,自我呈现</x:v>
      </x:c>
      <x:c r="E17" s="48" t="str">
        <x:v>想分享内容却不断预演别人会如何嘲笑或误解，最终不敢发送。</x:v>
      </x:c>
      <x:c r="F17" s="48" t="str">
        <x:v>参考：Alkis等，2017，SAS-SMU量表；Wang等，2024中文版量表修订。</x:v>
      </x:c>
      <x:c r="G17" s="93" t="str">
        <x:v>否</x:v>
      </x:c>
    </x:row>
    <x:row r="18" ht="118" customHeight="1">
      <x:c r="A18" s="81" t="str">
        <x:v>线上互动与评论回复焦虑</x:v>
      </x:c>
      <x:c r="B18" s="87" t="str">
        <x:v>焦虑类型解释</x:v>
      </x:c>
      <x:c r="C18" s="48" t="str">
        <x:v>## 这是什么
互动焦虑，是在评论、私信、群聊或公开讨论中，担心说错话、无法及时回应或被他人否定。它与发帖焦虑不同，重点是来回交流过程中的不确定和即时压力。
## 它通常怎样被触发
准备回复陌生人评论、进入不熟悉群聊、收到争议性回复，或需要在多人可见的讨论中表达时。
## 为什么社交媒体会放大它
文字交流缺少表情、语气和即时修复机会，短句可能被多种方式理解。社交媒体社交焦虑研究把互动焦虑列为一个维度；公开可见的回复链还会让用户意识到不只是对方，其他旁观者也可能阅读。
**关键认知：**
- 线上误解不一定来自表达能力差，也与媒介线索有限有关
- 不立即回复不等于失礼，平台交流通常具有异步性
- 担忧可能促使谨慎，但反复回避会让互动越来越陌生
## 常见表现
- 写好回复后迟迟不敢发送
- 不断解释和补充以避免被误解
- 收到轻微异议后长时间反刍
## 需要注意
该体验可能与现实社交焦虑相关，也可能只在特定平台、群体或争议话题中出现，需要结合情境理解。</x:v>
      </x:c>
      <x:c r="D18" s="48" t="str">
        <x:v>互动焦虑,评论回复,私信,负面评价</x:v>
      </x:c>
      <x:c r="E18" s="48" t="str">
        <x:v>进入公开评论区或陌生群聊时，因担心说错话而明显紧张和回避。</x:v>
      </x:c>
      <x:c r="F18" s="48" t="str">
        <x:v>参考：Alkis等，2017，社交媒体用户社交焦虑量表；Marwick与boyd，2011受众研究。</x:v>
      </x:c>
      <x:c r="G18" s="93" t="str">
        <x:v>否</x:v>
      </x:c>
    </x:row>
    <x:row r="19" ht="118" customHeight="1">
      <x:c r="A19" s="81" t="str">
        <x:v>多重受众重叠造成的表达焦虑</x:v>
      </x:c>
      <x:c r="B19" s="87" t="str">
        <x:v>焦虑类型解释</x:v>
      </x:c>
      <x:c r="C19" s="48" t="str">
        <x:v>## 这是什么
情境崩塌（context collapse）指原本分开的关系群体，在同一个社交账号中成为共同受众。用户难以同时满足朋友、家人、老师、同事和客户的不同期待，因而产生表达压力。
## 它通常怎样被触发
想发布带有私人情绪、幽默、观点或生活方式的内容，却想到账号里存在多种关系和身份时。
## 为什么社交媒体会放大它
线下交流通常依赖场合调整表达，社交平台却把多个场合压缩到同一页面。研究显示，用户会在头脑中构建“想象受众”并据此进行自我呈现；当受众边界不清晰时，更容易使用最保守的表达或完全沉默。
**关键认知：**
- 面对不同人调整表达是正常社会能力，不必被理解为虚假
- 平台受众结构会增加表达难度，而非所有压力都来自个人敏感
- 无法设计一条让所有关系都满意的内容
## 常见表现
- 发布前反复筛选可见人群
- 担心工作身份与私人身份冲突
- 逐渐只发安全但缺乏个人性的内容
## 需要注意
情境崩塌是传播学概念，不是焦虑诊断。它能解释结构性压力，但具体风险仍取决于账号关系和内容性质。</x:v>
      </x:c>
      <x:c r="D19" s="48" t="str">
        <x:v>情境崩塌,多重受众,想象受众,表达压力</x:v>
      </x:c>
      <x:c r="E19" s="48" t="str">
        <x:v>朋友圈或其他账号同时包含家人、同学和工作关系，导致任何内容都不敢发。</x:v>
      </x:c>
      <x:c r="F19" s="48" t="str">
        <x:v>参考：Marwick与boyd，2011《I Tweet Honestly, I Tweet Passionately》。</x:v>
      </x:c>
      <x:c r="G19" s="93" t="str">
        <x:v>否</x:v>
      </x:c>
    </x:row>
    <x:row r="20" ht="118" customHeight="1">
      <x:c r="A20" s="81" t="str">
        <x:v>隐私泄露与个人信息暴露焦虑</x:v>
      </x:c>
      <x:c r="B20" s="87" t="str">
        <x:v>焦虑类型解释</x:v>
      </x:c>
      <x:c r="C20" s="48" t="str">
        <x:v>## 这是什么
隐私暴露焦虑，是担心照片、位置、联系人、浏览信息或私人经历被不希望的人获取、转发或用于其他目的。它可以是合理风险判断，也可能因信息不透明而持续放大。
## 它通常怎样被触发
准备授权应用权限、公开位置和生活细节，或听到数据泄露、账号被盗、截图转发等事件时。
## 为什么社交媒体会放大它
用户往往难以直观看到数据如何被收集、保存和共享，平台设置也可能复杂。隐私研究显示，用户的隐私担忧包含对信息收集、未经同意访问和身份滥用等不同顾虑；担忧不一定与实际保护行为完全一致。
**关键认知：**
- 隐私担忧并非一定是过度反应，部分风险客观存在
- 焦虑会在控制范围和数据去向不清楚时上升
- 谨慎与完全不敢使用社交功能之间存在很多层次
## 常见表现
- 反复检查权限和可见范围
- 担心普通照片会泄露大量信息
- 因害怕数据被利用而避免必要的线上交流
## 需要注意
本条不判断某个平台是否安全，也不提供法律结论。应把现实安全风险与脱离证据的最坏情景想象区分开。</x:v>
      </x:c>
      <x:c r="D20" s="48" t="str">
        <x:v>隐私焦虑,信息暴露,数据安全,权限</x:v>
      </x:c>
      <x:c r="E20" s="48" t="str">
        <x:v>发布内容或授权权限时，持续担心私人信息会被陌生人、平台或熟人滥用。</x:v>
      </x:c>
      <x:c r="F20" s="48" t="str">
        <x:v>参考：Buchanan等，2007，网络隐私担忧量表；Alkis等，2017隐私担忧焦虑维度。</x:v>
      </x:c>
      <x:c r="G20" s="93" t="str">
        <x:v>否</x:v>
      </x:c>
    </x:row>
    <x:row r="21" ht="118" customHeight="1">
      <x:c r="A21" s="81" t="str">
        <x:v>旧内容与数字足迹暴露担忧</x:v>
      </x:c>
      <x:c r="B21" s="87" t="str">
        <x:v>焦虑类型解释</x:v>
      </x:c>
      <x:c r="C21" s="48" t="str">
        <x:v>## 这是什么
数字足迹担忧，是害怕过去发布的照片、言论、用户名或互动记录在新的关系和身份阶段被重新发现。它常见于求职、升学、恋爱或公众曝光之前。
## 它通常怎样被触发
搜索自己的姓名和旧账号，发现多年以前的内容仍可访问，或看到他人因历史言论受到批评时。
## 为什么社交媒体会放大它
网络内容可能被长期保存、截图和重新传播，原始语境却容易丢失。多重受众和永久记录让用户难以确定未来谁会看到什么。隐私研究可以支持这种担忧具有现实基础，但并不能说明每一条旧内容都会产生严重后果。
**关键认知：**
- 过去内容需要结合当时语境和成长变化理解
- 被保存不等于一定会被搜索、传播或造成后果
- 合理清理与持续反复搜索自己的全部痕迹是不同状态
## 常见表现
- 深夜反复搜索旧账号和用户名
- 想到求职调查就持续紧张
- 把少年时期的表达视为不可挽回的永久污点
## 需要注意
它不是正式心理诊断。若存在真实威胁、骚扰或个人信息泄露，应优先按安全和法律问题处理，而不只视为情绪问题。</x:v>
      </x:c>
      <x:c r="D21" s="48" t="str">
        <x:v>数字足迹,旧内容,声誉担忧,隐私</x:v>
      </x:c>
      <x:c r="E21" s="48" t="str">
        <x:v>进入新的学校、工作或关系阶段，担心过去的网络记录突然被翻出。</x:v>
      </x:c>
      <x:c r="F21" s="48" t="str">
        <x:v>参考：Marwick与boyd，2011情境崩塌研究；Buchanan等，2007网络隐私担忧研究。</x:v>
      </x:c>
      <x:c r="G21" s="93" t="str">
        <x:v>否</x:v>
      </x:c>
    </x:row>
    <x:row r="22" ht="118" customHeight="1">
      <x:c r="A22" s="81" t="str">
        <x:v>消息回复延迟引发的关系不确定焦虑</x:v>
      </x:c>
      <x:c r="B22" s="87" t="str">
        <x:v>焦虑类型解释</x:v>
      </x:c>
      <x:c r="C22" s="48" t="str">
        <x:v>## 这是什么
回复延迟焦虑，是发送消息后因长时间没有回复、看到已读标记或发现对方仍在其他地方活跃，而担心关系受损、自己被讨厌或事情出现问题。
## 它通常怎样被触发
向伴侣、朋友、老师或同事发送重要消息后，对方没有在预期时间内回应时。
## 为什么社交媒体会放大它
即时通讯制造了“随时可联系”的期待，同时又保留大量不确定性。已读、在线和正在输入等线索会让等待过程更加可见，却不能解释对方的情境。相关研究发现，是否及时回复受到个人、关系和社会规范影响，在线忽视也可能威胁归属感。
**关键认知：**
- 已读只说明内容被打开，不能说明对方的态度和可用精力
- 回复速度的意义在不同关系和情境中并不相同
- 不确定性会诱发负面解释，但解释不等于事实
## 常见表现
- 反复打开对话框和查看在线状态
- 连续补发消息确认对方是否生气
- 把一次延迟扩展为关系即将结束
## 需要注意
真实的长期冷处理与偶发回复延迟需要区分。本条不能替代对具体关系模式的判断。</x:v>
      </x:c>
      <x:c r="D22" s="48" t="str">
        <x:v>回复延迟,已读不回,关系不确定,拒绝敏感</x:v>
      </x:c>
      <x:c r="E22" s="48" t="str">
        <x:v>重要消息没有及时回复，开始反复检查对方动态并预演关系破裂。</x:v>
      </x:c>
      <x:c r="F22" s="48" t="str">
        <x:v>参考：Mai等，2015《I Know You’ve Seen It!》；Schneider等，2017在线排除研究。</x:v>
      </x:c>
      <x:c r="G22" s="93" t="str">
        <x:v>否</x:v>
      </x:c>
    </x:row>
    <x:row r="23" ht="118" customHeight="1">
      <x:c r="A23" s="81" t="str">
        <x:v>必须及时回复的在线可用性压力</x:v>
      </x:c>
      <x:c r="B23" s="87" t="str">
        <x:v>焦虑类型解释</x:v>
      </x:c>
      <x:c r="C23" s="48" t="str">
        <x:v>## 这是什么
在线可用性压力，是持续觉得自己必须快速回复工作或社交消息，否则就会被认为不负责、不重视关系或错过机会。在工作情境中，相关概念常被称为 workplace telepressure。
## 它通常怎样被触发
下班后仍收到工作群消息、多人同时私信，或所在群体形成“秒回才算认真”的隐性规范时。
## 为什么社交媒体会放大它
移动通讯使工作和私人时间边界变得模糊。telepressure研究把它定义为对消息的持续牵挂和迅速回复冲动，并发现其与较差的心理脱离和恢复有关。它与单纯消息多不同，重点是“我必须马上回应”的内在压力。
**关键认知：**
- 即时通讯的技术可达性不等于个人必须随时可用
- 回复规范是群体和组织共同形成的，不应全部归因于个人自控
- 快速回复有时必要，但长期保持警戒会占用恢复时间
## 常见表现
- 休息时仍不断想是否有新消息
- 听到提示音立即紧张
- 即使没有明确要求也不敢延迟回复
## 需要注意
该研究主要来自工作通讯，迁移到私人社交场景时需要谨慎。它不是对所有快速回复习惯的病理化描述。</x:v>
      </x:c>
      <x:c r="D23" s="48" t="str">
        <x:v>在线可用性,秒回压力,工作消息,边界模糊</x:v>
      </x:c>
      <x:c r="E23" s="48" t="str">
        <x:v>明明已经休息，却因担心漏回群消息而始终不敢离开手机。</x:v>
      </x:c>
      <x:c r="F23" s="48" t="str">
        <x:v>参考：Barber与Santuzzi，2015《Please Respond ASAP: Workplace Telepressure and Employee Recovery》。</x:v>
      </x:c>
      <x:c r="G23" s="93" t="str">
        <x:v>否</x:v>
      </x:c>
    </x:row>
    <x:row r="24" ht="118" customHeight="1">
      <x:c r="A24" s="81" t="str">
        <x:v>“始终在线”的在线警觉焦虑</x:v>
      </x:c>
      <x:c r="B24" s="87" t="str">
        <x:v>焦虑类型解释</x:v>
      </x:c>
      <x:c r="C24" s="48" t="str">
        <x:v>## 这是什么
在线警觉（online vigilance）是即使没有正在使用手机，注意力仍持续朝向线上消息、内容和互动的状态。它包括反复想到线上事件、对通知高度反应和主动监控更新。
## 它通常怎样被触发
学习、工作、吃饭或与人交谈时，脑中不断出现查看动态、消息和评论的冲动。
## 为什么社交媒体会放大它
智能手机让在线内容随时可达，用户也逐渐形成持续连接的预期。在线警觉量表把这种状态分为显著性、反应性和监控性等维度。研究提示，它可能通过走神和难以心理脱离影响幸福感，但关系并非对所有人都相同。
**关键认知：**
- 屏幕使用时间不高，也可能存在持续的认知牵挂
- 想查看不代表必须立即查看，冲动和行动可以分开
- 在线警觉是连续特征，不是对注意缺陷疾病的判断
## 常见表现
- 做事时频繁想起未读消息
- 无意识点亮屏幕确认更新
- 离开网络后仍反复回想评论和争论
## 需要注意
不要把在线警觉直接称为“成瘾”或脑损伤。研究更关注认知取向及其与日常状态的关系。</x:v>
      </x:c>
      <x:c r="D24" s="48" t="str">
        <x:v>在线警觉,始终在线,注意分散,消息监控</x:v>
      </x:c>
      <x:c r="E24" s="48" t="str">
        <x:v>手机没有响，但工作或学习时仍持续担心线上是否发生了新事情。</x:v>
      </x:c>
      <x:c r="F24" s="48" t="str">
        <x:v>参考：Reinecke等，2018，Online Vigilance Scale；Johannes等，2020在线警觉与日常情绪研究。</x:v>
      </x:c>
      <x:c r="G24" s="93" t="str">
        <x:v>是</x:v>
      </x:c>
    </x:row>
    <x:row r="25" ht="118" customHeight="1">
      <x:c r="A25" s="81" t="str">
        <x:v>手机分离与断联焦虑</x:v>
      </x:c>
      <x:c r="B25" s="87" t="str">
        <x:v>焦虑类型解释</x:v>
      </x:c>
      <x:c r="C25" s="48" t="str">
        <x:v>## 这是什么
手机分离焦虑或无手机恐惧（nomophobia），描述无法使用手机、无法通信、无法获取信息或失去便利时出现的不安。它不是正式临床诊断，而是通过量表研究的数字生活现象。
## 它通常怎样被触发
手机没电、无信号、遗忘手机，或处在必须上交设备的环境时。
## 为什么社交媒体会放大它
NMP-Q研究归纳出无法通信、失去连接、无法获取信息和放弃便利等维度。现代手机同时承载社交、支付、导航和工作功能，因此分离时的担忧可能既有现实原因，也有习惯和持续连接期待的影响。
**关键认知：**
- 手机承担多种现实功能，短暂不安并不自动等于心理问题
- 担忧的重点可能是安全、工作、社交或便利，需要分别理解
- nomophobia是研究术语，不应被夸大为公认的临床恐惧症
## 常见表现
- 电量下降时明显坐立不安
- 不断确认信号和充电设备
- 短暂离开手机就担心错过重要消息
## 需要注意
需要区分现实应急需求和与风险不相称的持续恐慌。不能只凭“经常带充电宝”判断问题程度。</x:v>
      </x:c>
      <x:c r="D25" s="48" t="str">
        <x:v>手机分离,断联焦虑,Nomophobia,失去连接</x:v>
      </x:c>
      <x:c r="E25" s="48" t="str">
        <x:v>手机没电或无法联网时，出现明显不安并反复确认是否恢复连接。</x:v>
      </x:c>
      <x:c r="F25" s="48" t="str">
        <x:v>参考：Yildirim与Correia，2015，NMP-Q开发与验证研究。</x:v>
      </x:c>
      <x:c r="G25" s="93" t="str">
        <x:v>否</x:v>
      </x:c>
    </x:row>
    <x:row r="26" ht="118" customHeight="1">
      <x:c r="A26" s="81" t="str">
        <x:v>社交媒体信息过载焦虑</x:v>
      </x:c>
      <x:c r="B26" s="87" t="str">
        <x:v>焦虑类型解释</x:v>
      </x:c>
      <x:c r="C26" s="48" t="str">
        <x:v>## 这是什么
信息过载焦虑，是接收的新闻、观点、通知和群消息超过自身处理能力后，出现混乱、紧张和难以判断轻重缓急的状态。它不仅取决于信息数量，也取决于矛盾程度和是否要求回应。
## 它通常怎样被触发
热点事件密集发生、多群同时活跃，或为了弄清真相连续打开大量帖子、视频和评论时。
## 为什么社交媒体会放大它
社交媒体把信息过载、沟通过载和社交过载叠加在同一设备上。研究发现，这些过载体验与焦虑、信息压力和疲劳存在关联，尤其在公共卫生危机等高不确定场景中更明显。但多数研究为相关性或特定时期调查。
**关键认知：**
- 更多信息不一定带来更高确定性，矛盾信息可能增加负担
- 处理不过来不代表理解能力差，可能是输入超过了当前资源
- 过载与焦虑可能互相强化，焦虑也会促使人继续搜索
## 常见表现
- 多个信息源之间反复切换
- 看了很多内容仍觉得完全不知道该相信什么
- 因漏看消息而持续紧张
## 需要注意
不能把公共危机期间的研究结果不加区分地推广到所有日常使用。具体影响还与内容可信度和个人处境有关。</x:v>
      </x:c>
      <x:c r="D26" s="48" t="str">
        <x:v>信息过载,消息过载,信息压力,不确定性</x:v>
      </x:c>
      <x:c r="E26" s="48" t="str">
        <x:v>新闻、群聊和推荐内容同时涌入，越看越混乱却又不敢停止时。</x:v>
      </x:c>
      <x:c r="F26" s="48" t="str">
        <x:v>参考：Li等，2023，社交媒体过载、焦虑与健康自我效能研究；Wang等，2023上海大学生研究。</x:v>
      </x:c>
      <x:c r="G26" s="93" t="str">
        <x:v>否</x:v>
      </x:c>
    </x:row>
    <x:row r="27" ht="118" customHeight="1">
      <x:c r="A27" s="81" t="str">
        <x:v>社交媒体疲劳与“应付不动”感</x:v>
      </x:c>
      <x:c r="B27" s="87" t="str">
        <x:v>焦虑类型解释</x:v>
      </x:c>
      <x:c r="C27" s="48" t="str">
        <x:v>## 这是什么
社交媒体疲劳是对持续浏览、互动、更新和维持关系感到厌倦，表现为注意力下降、情绪耗竭和想暂时退出。它与焦虑不同，但可能与焦虑、强迫性使用和FOMO形成循环。
## 它通常怎样被触发
平台和群聊过多、信息重复、需要持续回应，或一边觉得累一边担心退出后错过内容时。
## 为什么社交媒体会放大它
研究使用压力—负荷—结果框架解释：强迫性使用和FOMO可能增加疲劳，而疲劳又与更高的焦虑和抑郁症状相关。由于许多研究为横断面或重复横断面设计，不能简单断言疲劳一定导致焦虑。
**关键认知：**
- 疲劳可能来自信息、互动、角色管理等不同来源
- 想减少使用不等于讨厌所有线上关系
- 疲劳和继续使用可以同时存在，这并不矛盾
## 常见表现
- 打开应用后很快感到烦躁
- 不想回复却又担心关系受影响
- 删除应用后不久又重新安装
## 需要注意
疲劳是使用体验，不是单独的医学诊断。需要结合睡眠、工作负荷和现实压力判断主要来源。</x:v>
      </x:c>
      <x:c r="D27" s="48" t="str">
        <x:v>社交媒体疲劳,信息负荷,FOMO,情绪耗竭</x:v>
      </x:c>
      <x:c r="E27" s="48" t="str">
        <x:v>觉得社交平台令人疲惫，却又因为担心错过消息而无法真正离开。</x:v>
      </x:c>
      <x:c r="F27" s="48" t="str">
        <x:v>参考：Dhir等，2018《Online Social Media Fatigue and Psychological Wellbeing》。</x:v>
      </x:c>
      <x:c r="G27" s="93" t="str">
        <x:v>否</x:v>
      </x:c>
    </x:row>
    <x:row r="28" ht="118" customHeight="1">
      <x:c r="A28" s="81" t="str">
        <x:v>末日刷屏（Doomscrolling）</x:v>
      </x:c>
      <x:c r="B28" s="87" t="str">
        <x:v>焦虑类型解释</x:v>
      </x:c>
      <x:c r="C28" s="48" t="str">
        <x:v>## 这是什么
末日刷屏是明知负面新闻会让自己更难受，仍持续滚动、搜索和查看灾难、冲突或危机内容。它通常包含“再看一点也许就能弄清局势”的想法。
## 它通常怎样被触发
重大灾害、公共卫生事件、战争冲突或经济不确定时期，反复刷新热搜、推荐流和评论区时。
## 为什么社交媒体会放大它
消极信息更容易吸引注意，而不断更新的信息流又让用户觉得关键消息可能出现在下一条。Doomscrolling Scale研究发现，该行为与心理痛苦、FOMO、社交媒体成瘾指标及较低幸福感相关，但这些发现主要是关联，不能确定单一因果方向。
**关键认知：**
- 继续刷新不一定能提高判断准确性，可能只增加重复暴露
- 担忧会推动搜索，搜索后的内容又可能继续放大担忧
- 末日刷屏描述的是行为模式，不是正式疾病名称
## 常见表现
- 睡前不断刷新坏消息
- 停下后仍在脑中反复预演最坏结果
- 因为担心漏掉变化而不敢结束浏览
## 需要注意
需要与合理获取应急信息区分。关键不只是内容负面，而是难以停止、重复暴露和明显影响日常功能。</x:v>
      </x:c>
      <x:c r="D28" s="48" t="str">
        <x:v>末日刷屏,末日刷屏,负面新闻,不确定性</x:v>
      </x:c>
      <x:c r="E28" s="48" t="str">
        <x:v>突发事件后持续刷新负面信息，越看越焦虑却难以停下。</x:v>
      </x:c>
      <x:c r="F28" s="48" t="str">
        <x:v>参考：Satici等，2022，Doomscrolling Scale及其与心理痛苦和幸福感的研究。</x:v>
      </x:c>
      <x:c r="G28" s="93" t="str">
        <x:v>是</x:v>
      </x:c>
    </x:row>
    <x:row r="29" ht="118" customHeight="1">
      <x:c r="A29" s="81" t="str">
        <x:v>灾难影像反复暴露引发的应激焦虑</x:v>
      </x:c>
      <x:c r="B29" s="87" t="str">
        <x:v>焦虑类型解释</x:v>
      </x:c>
      <x:c r="C29" s="48" t="str">
        <x:v>## 这是什么
灾难媒介暴露焦虑，是普通用户反复观看灾害、暴力和伤亡影像后，出现紧张、侵入性回想、睡眠受扰或安全感下降。它与末日刷屏不同：重点是高强度影像和重复暴露带来的应激反应。
## 它通常怎样被触发
突发袭击、事故或自然灾害发生后，推荐流连续出现现场视频、受害者画面和循环播放的新闻片段时。
## 为什么社交媒体会放大它
大型事件研究发现，反复接触相关媒体报道与更高的急性应激症状相关，有些研究中高媒体暴露者的应激甚至高于部分直接暴露者。但这并不意味着观看新闻等同于亲历创伤，也不能把所有难受都称为替代性创伤。
**关键认知：**
- 画面重复出现会让事件在注意中持续保持活跃
- 强烈反应可能与既往经历、暴露时长和内容类型有关
- 共情和难受是正常反应，不必因此自我指责
## 常见表现
- 脑中反复出现看过的画面
- 听到相似声音就紧张
- 暂时不敢进入相关平台或新闻页面
## 需要注意
只有专业评估才能判断是否达到创伤相关障碍标准。本文只解释媒体暴露与应激反应的研究关系。</x:v>
      </x:c>
      <x:c r="D29" s="48" t="str">
        <x:v>灾难影像,媒体暴露,急性应激,负面新闻</x:v>
      </x:c>
      <x:c r="E29" s="48" t="str">
        <x:v>反复看到灾难现场视频后，出现明显紧张、失眠或画面挥之不去。</x:v>
      </x:c>
      <x:c r="F29" s="48" t="str">
        <x:v>参考：Holman、Garfin与Silver，2014，波士顿马拉松爆炸事件媒体暴露研究。</x:v>
      </x:c>
      <x:c r="G29" s="93" t="str">
        <x:v>否</x:v>
      </x:c>
    </x:row>
    <x:row r="30" ht="118" customHeight="1">
      <x:c r="A30" s="81" t="str">
        <x:v>健康信息过载与网络疑病焦虑</x:v>
      </x:c>
      <x:c r="B30" s="87" t="str">
        <x:v>焦虑类型解释</x:v>
      </x:c>
      <x:c r="C30" s="48" t="str">
        <x:v>## 这是什么
健康信息焦虑，是在社交媒体上接触大量症状、疾病和风险内容后，反复担心自己或家人患病，并持续搜索以获得确定感。网络疑病（cyberchondria）强调在线健康搜索与健康焦虑之间可能形成循环。
## 它通常怎样被触发
公共卫生事件、身体出现普通不适，或推荐流连续推送疾病自测、罕见病案例和风险警告时。
## 为什么社交媒体会放大它
健康内容往往信息不完整、来源质量不一，并突出严重案例。纵向研究提示健康焦虑和在线健康搜索可能相互影响；2026年的社交媒体健康信息焦虑研究也指出，事件严重度、信息过载、信息不对称和集体情绪可能共同发挥作用。
**关键认知：**
- 搜索可以提供信息，也可能在无法获得绝对确定时继续放大担忧
- 个案内容不能用于估计自己患病概率
- 健康焦虑与真实症状可以同时存在，不能用心理解释排除医学检查
## 常见表现
- 看到症状视频后立即对号入座
- 不断更换关键词搜索严重疾病
- 短暂安心后很快再次怀疑
## 需要注意
本文不提供诊断。出现新的、持续的或严重身体症状时，应依据正规医疗渠道评估，而不是只依赖社交媒体信息。</x:v>
      </x:c>
      <x:c r="D30" s="48" t="str">
        <x:v>健康信息,网络疑病,信息过载,风险感知</x:v>
      </x:c>
      <x:c r="E30" s="48" t="str">
        <x:v>刷到疾病或症状内容后，开始反复搜索并确信自己可能患有严重疾病。</x:v>
      </x:c>
      <x:c r="F30" s="48" t="str">
        <x:v>参考：Te Poel等，2016网络疑病纵向研究；Xiao等，2026社交媒体健康信息焦虑研究。</x:v>
      </x:c>
      <x:c r="G30" s="93" t="str">
        <x:v>否</x:v>
      </x:c>
    </x:row>
    <x:row r="31" ht="118" customHeight="1">
      <x:c r="A31" s="81" t="str">
        <x:v>网络欺凌或骚扰后的持续警觉</x:v>
      </x:c>
      <x:c r="B31" s="87" t="str">
        <x:v>焦虑类型解释</x:v>
      </x:c>
      <x:c r="C31" s="48" t="str">
        <x:v>## 这是什么
网络骚扰后的持续警觉，是在经历辱骂、威胁、围攻、跟踪或隐私攻击后，持续担心新的攻击出现，并反复监控账号、评论和现实安全。这里的焦虑与真实伤害事件有关，不应简单归为“太敏感”。
## 它通常怎样被触发
收到恶意私信、被多人围攻、被持续搜索联系，或个人信息遭到传播之后。
## 为什么社交媒体会放大它
网络攻击可以跨时间、跨平台重复出现，内容也容易被复制和扩大。儿童青少年网络欺凌综述和成人网络骚扰系统综述都报告了与焦虑、抑郁、压力和生活功能受损的关联。持续警觉在这种情况下可能是一种风险应对反应。
**关键认知：**
- 存在真实威胁时，安全担忧具有现实基础
- 受害者的焦虑不应被解释为网络承受力不足
- 评论数量和传播范围会影响压力，但个体反应也有差异
## 常见表现
- 不断检查是否出现新账号攻击
- 对通知声产生明显紧张
- 因担心被找到而回避正常社交和出行
## 需要注意
涉及威胁、人肉、跟踪或隐私泄露时，应作为安全事件处理。心理支持不能替代证据保存、平台举报和必要的法律求助。</x:v>
      </x:c>
      <x:c r="D31" s="48" t="str">
        <x:v>网络欺凌,网络骚扰,持续警觉,安全担忧</x:v>
      </x:c>
      <x:c r="E31" s="48" t="str">
        <x:v>遭遇网暴、威胁或跟踪后，对任何新通知都高度紧张并担心攻击继续。</x:v>
      </x:c>
      <x:c r="F31" s="48" t="str">
        <x:v>参考：Hamm等，2015网络欺凌影响综述；Stevens等，2021成人网络跟踪与骚扰系统综述。</x:v>
      </x:c>
      <x:c r="G31" s="93" t="str">
        <x:v>否</x:v>
      </x:c>
    </x:row>
    <x:row r="32" ht="118" customHeight="1">
      <x:c r="A32" s="81" t="str">
        <x:v>伴侣社交媒体监控与嫉妒焦虑</x:v>
      </x:c>
      <x:c r="B32" s="87" t="str">
        <x:v>焦虑类型解释</x:v>
      </x:c>
      <x:c r="C32" s="48" t="str">
        <x:v>## 这是什么
社交媒体关系嫉妒，是看到伴侣与他人的点赞、评论、好友关系或旧照片后，对关系安全产生怀疑，并通过继续查看获得更多线索。它常形成“越监控、越发现模糊信息、越不安”的循环。
## 它通常怎样被触发
伴侣新增好友、与特定对象互动、没有公开关系状态，或旧内容中出现前任和暧昧线索时。
## 为什么社交媒体会放大它
社交媒体提供了大量脱离语境的关系信息，例如一个点赞无法说明互动目的。早期Facebook研究发现，使用程度与平台相关嫉妒有关，并提出信息暴露和监控可能相互强化。研究说明的是关联和循环可能，不等于所有线上互动都代表关系风险。
**关键认知：**
- 模糊线上线索不能替代直接沟通和长期行为
- 监控可能短暂提供信息，也可能制造更多需要解释的细节
- 嫉妒感是真实的，但对线索的解释仍可能错误
## 常见表现
- 反复查看伴侣关注和点赞名单
- 根据在线状态推测对方在隐瞒什么
- 把普通互动理解为关系背叛
## 需要注意
若关系中存在控制、欺骗或暴力，需要按现实关系问题处理；本条不应用来否定合理怀疑，也不为监控行为辩护。</x:v>
      </x:c>
      <x:c r="D32" s="48" t="str">
        <x:v>关系嫉妒,伴侣监控,模糊线索,关系安全</x:v>
      </x:c>
      <x:c r="E32" s="48" t="str">
        <x:v>因伴侣的点赞、关注或旧动态产生强烈怀疑，并反复查看其账号活动。</x:v>
      </x:c>
      <x:c r="F32" s="48" t="str">
        <x:v>参考：Muise、Christofides与Desmarais，2009，Facebook与浪漫关系嫉妒研究。</x:v>
      </x:c>
      <x:c r="G32" s="93" t="str">
        <x:v>否</x:v>
      </x:c>
    </x:row>
    <x:row r="33" ht="118" customHeight="1">
      <x:c r="A33" s="82" t="str">
        <x:v>拟社会关系中断后的失落与不安</x:v>
      </x:c>
      <x:c r="B33" s="88" t="str">
        <x:v>焦虑类型解释</x:v>
      </x:c>
      <x:c r="C33" s="51" t="str">
        <x:v>## 这是什么
拟社会关系是受众与媒体人物、主播、博主或虚拟角色形成的单向情感联结。拟社会关系中断，是当对方停更、离开作品、账号消失或形象发生重大变化时，受众产生失落、愤怒或空缺感。
## 它通常怎样被触发
长期关注的创作者突然退网、节目结束、角色离开，或信任的公众人物出现与既有印象冲突的信息时。
## 为什么社交媒体会放大它
高频接触、直接镜头表达和生活细节分享会增加熟悉感。拟社会关系研究表明，关系强度和依恋特征与中断后的痛苦程度有关。虽然最早研究来自电视角色，相关机制可谨慎用于理解今天的主播和博主关系。
**关键认知：**
- 单向关系也可能承载真实情绪和生活意义
- 感到难过不等于误把对方当成现实朋友
- 网络呈现始终是有限信息，关系中断也可能迫使原有想象发生调整
## 常见表现
- 反复回看旧内容
- 对停更或形象变化感到被抛下
- 因觉得自己“不该为陌生人难过”而羞耻
## 需要注意
应统一使用“拟社会关系”，而不是带有贬义的“寄生关系”。该概念不表示受众愚蠢或创作者一定在欺骗。</x:v>
      </x:c>
      <x:c r="D33" s="51" t="str">
        <x:v>拟社会关系,停更,关系中断,失落</x:v>
      </x:c>
      <x:c r="E33" s="51" t="str">
        <x:v>长期陪伴自己的博主、主播或角色突然消失，产生类似告别后的空缺感。</x:v>
      </x:c>
      <x:c r="F33" s="51" t="str">
        <x:v>参考：Cohen，2003拟社会关系中断量表；Cohen，2004拟社会关系中断、依恋与关系强度研究。</x:v>
      </x:c>
      <x:c r="G33" s="94" t="str">
        <x:v>否</x:v>
      </x:c>
    </x:row>
  </x:sheetData>
  <x:mergeCells>
    <x:mergeCell ref="A1:G1"/>
    <x:mergeCell ref="A2:G2"/>
  </x:mergeCells>
  <x:conditionalFormatting sqref="G4:G33">
    <x:cfRule type="expression" dxfId="0" priority="1">
      <x:formula>G4="是"</x:formula>
    </x:cfRule>
  </x:conditionalFormatting>
  <x:dataValidations count="2">
    <x:dataValidation type="list" sqref="B4:B33">
      <x:formula1>"焦虑类型解释"</x:formula1>
    </x:dataValidation>
    <x:dataValidation type="list" sqref="G4:G3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071ef7904842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58" hidden="0" customWidth="1"/>
    <x:col min="4" max="4" width="34" hidden="0" customWidth="1"/>
    <x:col min="5" max="5" width="24" hidden="0" customWidth="1"/>
    <x:col min="6" max="6" width="38" hidden="0" customWidth="1"/>
    <x:col min="7" max="7" width="53" hidden="0" customWidth="1"/>
  </x:cols>
  <x:sheetData>
    <x:row r="1" ht="32" customHeight="1">
      <x:c r="A1" s="5" t="str">
        <x:v>来源索引｜正式论文、综述与量表</x:v>
      </x:c>
      <x:c r="B1" s="5"/>
      <x:c r="C1" s="5"/>
      <x:c r="D1" s="5"/>
      <x:c r="E1" s="5"/>
      <x:c r="F1" s="5"/>
      <x:c r="G1" s="5"/>
    </x:row>
    <x:row r="2" ht="34" customHeight="1">
      <x:c r="A2" s="13" t="str">
        <x:v>source_note 使用简写；本页保留完整题名、期刊、证据类型与可核验链接。链接优先采用 DOI、期刊官网、PubMed 或 PMC。</x:v>
      </x:c>
      <x:c r="B2" s="13"/>
      <x:c r="C2" s="13"/>
      <x:c r="D2" s="13"/>
      <x:c r="E2" s="13"/>
      <x:c r="F2" s="13"/>
      <x:c r="G2" s="13"/>
    </x:row>
    <x:row r="3" ht="32" customHeight="1">
      <x:c r="A3" s="21" t="str">
        <x:v>编号</x:v>
      </x:c>
      <x:c r="B3" s="21" t="str">
        <x:v>作者 / 年份</x:v>
      </x:c>
      <x:c r="C3" s="21" t="str">
        <x:v>完整题名</x:v>
      </x:c>
      <x:c r="D3" s="21" t="str">
        <x:v>期刊 / 来源</x:v>
      </x:c>
      <x:c r="E3" s="21" t="str">
        <x:v>证据类型</x:v>
      </x:c>
      <x:c r="F3" s="21" t="str">
        <x:v>主要支持主题</x:v>
      </x:c>
      <x:c r="G3" s="21" t="str">
        <x:v>DOI / 稳定链接</x:v>
      </x:c>
    </x:row>
    <x:row r="4" ht="54" customHeight="1">
      <x:c r="A4" s="98" t="n">
        <x:v>1</x:v>
      </x:c>
      <x:c r="B4" s="45" t="str">
        <x:v>Vogel等（2014）</x:v>
      </x:c>
      <x:c r="C4" s="45" t="str">
        <x:v>Social Comparison, Social Media, and Self-Esteem</x:v>
      </x:c>
      <x:c r="D4" s="45" t="str">
        <x:v>Psychology of Popular Media Culture</x:v>
      </x:c>
      <x:c r="E4" s="45" t="str">
        <x:v>同行评审实证研究</x:v>
      </x:c>
      <x:c r="F4" s="45" t="str">
        <x:v>向上社会比较、自尊、学业/职业/消费比较</x:v>
      </x:c>
      <x:c r="G4" s="46" t="str">
        <x:v>https://doi.org/10.1037/ppm0000047</x:v>
      </x:c>
    </x:row>
    <x:row r="5" ht="54" customHeight="1">
      <x:c r="A5" s="99" t="n">
        <x:v>2</x:v>
      </x:c>
      <x:c r="B5" s="48" t="str">
        <x:v>McComb、Vanman与Tobin（2023）</x:v>
      </x:c>
      <x:c r="C5" s="48" t="str">
        <x:v>A Meta-Analysis of the Effects of Social Media Exposure to Upward Comparison Targets on Self-Evaluations and Emotions</x:v>
      </x:c>
      <x:c r="D5" s="48" t="str">
        <x:v>Media Psychology</x:v>
      </x:c>
      <x:c r="E5" s="48" t="str">
        <x:v>元分析</x:v>
      </x:c>
      <x:c r="F5" s="48" t="str">
        <x:v>向上比较、人生进度比较、职业成就比较</x:v>
      </x:c>
      <x:c r="G5" s="49" t="str">
        <x:v>https://doi.org/10.1080/15213269.2023.2180647</x:v>
      </x:c>
    </x:row>
    <x:row r="6" ht="54" customHeight="1">
      <x:c r="A6" s="99" t="n">
        <x:v>3</x:v>
      </x:c>
      <x:c r="B6" s="48" t="str">
        <x:v>Meier与Johnson（2022）</x:v>
      </x:c>
      <x:c r="C6" s="48" t="str">
        <x:v>Social Comparison and Envy on Social Media: A Critical Review</x:v>
      </x:c>
      <x:c r="D6" s="48" t="str">
        <x:v>Current Opinion in Psychology</x:v>
      </x:c>
      <x:c r="E6" s="48" t="str">
        <x:v>同行评审综述</x:v>
      </x:c>
      <x:c r="F6" s="48" t="str">
        <x:v>比较、嫉妒、生活方式比较</x:v>
      </x:c>
      <x:c r="G6" s="49" t="str">
        <x:v>https://doi.org/10.1016/j.copsyc.2022.101302</x:v>
      </x:c>
    </x:row>
    <x:row r="7" ht="54" customHeight="1">
      <x:c r="A7" s="99" t="n">
        <x:v>4</x:v>
      </x:c>
      <x:c r="B7" s="48" t="str">
        <x:v>Cingel、Carter与Krause（2022）</x:v>
      </x:c>
      <x:c r="C7" s="48" t="str">
        <x:v>Social Media and Self-Esteem</x:v>
      </x:c>
      <x:c r="D7" s="48" t="str">
        <x:v>Current Opinion in Psychology</x:v>
      </x:c>
      <x:c r="E7" s="48" t="str">
        <x:v>同行评审综述</x:v>
      </x:c>
      <x:c r="F7" s="48" t="str">
        <x:v>社交媒体与自尊的个体差异和双向关系</x:v>
      </x:c>
      <x:c r="G7" s="49" t="str">
        <x:v>https://doi.org/10.1016/j.copsyc.2022.101304</x:v>
      </x:c>
    </x:row>
    <x:row r="8" ht="54" customHeight="1">
      <x:c r="A8" s="99" t="n">
        <x:v>5</x:v>
      </x:c>
      <x:c r="B8" s="48" t="str">
        <x:v>Nesi与Prinstein（2015）</x:v>
      </x:c>
      <x:c r="C8" s="48" t="str">
        <x:v>Using Social Media for Social Comparison and Feedback-Seeking: Gender and Popularity Moderate Associations with Depressive Symptoms</x:v>
      </x:c>
      <x:c r="D8" s="48" t="str">
        <x:v>Journal of Abnormal Child Psychology</x:v>
      </x:c>
      <x:c r="E8" s="48" t="str">
        <x:v>纵向实证研究</x:v>
      </x:c>
      <x:c r="F8" s="48" t="str">
        <x:v>学业比较、反馈寻求、青少年比较行为</x:v>
      </x:c>
      <x:c r="G8" s="49" t="str">
        <x:v>https://pmc.ncbi.nlm.nih.gov/articles/PMC5985443/</x:v>
      </x:c>
    </x:row>
    <x:row r="9" ht="54" customHeight="1">
      <x:c r="A9" s="99" t="n">
        <x:v>6</x:v>
      </x:c>
      <x:c r="B9" s="48" t="str">
        <x:v>Chou与Edge（2012）</x:v>
      </x:c>
      <x:c r="C9" s="48" t="str">
        <x:v>They Are Happier and Having Better Lives than I Am: The Impact of Using Facebook on Perceptions of Others' Lives</x:v>
      </x:c>
      <x:c r="D9" s="48" t="str">
        <x:v>Cyberpsychology, Behavior, and Social Networking</x:v>
      </x:c>
      <x:c r="E9" s="48" t="str">
        <x:v>同行评审实证研究</x:v>
      </x:c>
      <x:c r="F9" s="48" t="str">
        <x:v>对他人生活的理想化判断、亲密关系与生活比较</x:v>
      </x:c>
      <x:c r="G9" s="49" t="str">
        <x:v>https://doi.org/10.1089/cyber.2011.0324</x:v>
      </x:c>
    </x:row>
    <x:row r="10" ht="54" customHeight="1">
      <x:c r="A10" s="99" t="n">
        <x:v>7</x:v>
      </x:c>
      <x:c r="B10" s="48" t="str">
        <x:v>Muise、Christofides与Desmarais（2009）</x:v>
      </x:c>
      <x:c r="C10" s="48" t="str">
        <x:v>More Information than You Ever Wanted: Does Facebook Bring Out the Green-Eyed Monster of Jealousy?</x:v>
      </x:c>
      <x:c r="D10" s="48" t="str">
        <x:v>CyberPsychology &amp; Behavior</x:v>
      </x:c>
      <x:c r="E10" s="48" t="str">
        <x:v>同行评审实证研究</x:v>
      </x:c>
      <x:c r="F10" s="48" t="str">
        <x:v>伴侣监控、关系嫉妒、亲密关系信息不确定性</x:v>
      </x:c>
      <x:c r="G10" s="49" t="str">
        <x:v>https://doi.org/10.1089/cpb.2008.0263</x:v>
      </x:c>
    </x:row>
    <x:row r="11" ht="54" customHeight="1">
      <x:c r="A11" s="99" t="n">
        <x:v>8</x:v>
      </x:c>
      <x:c r="B11" s="48" t="str">
        <x:v>Holland与Tiggemann（2016）</x:v>
      </x:c>
      <x:c r="C11" s="48" t="str">
        <x:v>A Systematic Review of the Impact of the Use of Social Networking Sites on Body Image and Disordered Eating Outcomes</x:v>
      </x:c>
      <x:c r="D11" s="48" t="str">
        <x:v>Body Image</x:v>
      </x:c>
      <x:c r="E11" s="48" t="str">
        <x:v>系统综述</x:v>
      </x:c>
      <x:c r="F11" s="48" t="str">
        <x:v>容貌、身体意象、外貌比较</x:v>
      </x:c>
      <x:c r="G11" s="49" t="str">
        <x:v>https://doi.org/10.1016/j.bodyim.2016.02.008</x:v>
      </x:c>
    </x:row>
    <x:row r="12" ht="54" customHeight="1">
      <x:c r="A12" s="99" t="n">
        <x:v>9</x:v>
      </x:c>
      <x:c r="B12" s="48" t="str">
        <x:v>Fardouly等（2015）</x:v>
      </x:c>
      <x:c r="C12" s="48" t="str">
        <x:v>Social Comparisons on Social Media: The Impact of Facebook on Young Women's Body Image Concerns and Mood</x:v>
      </x:c>
      <x:c r="D12" s="48" t="str">
        <x:v>Body Image</x:v>
      </x:c>
      <x:c r="E12" s="48" t="str">
        <x:v>实验研究</x:v>
      </x:c>
      <x:c r="F12" s="48" t="str">
        <x:v>容貌比较、情绪、身体意象</x:v>
      </x:c>
      <x:c r="G12" s="49" t="str">
        <x:v>https://doi.org/10.1016/j.bodyim.2014.12.002</x:v>
      </x:c>
    </x:row>
    <x:row r="13" ht="54" customHeight="1">
      <x:c r="A13" s="99" t="n">
        <x:v>10</x:v>
      </x:c>
      <x:c r="B13" s="48" t="str">
        <x:v>Vandenbosch、Fardouly与Tiggemann（2022）</x:v>
      </x:c>
      <x:c r="C13" s="48" t="str">
        <x:v>Social Media and Body Image: Recent Trends and Future Directions</x:v>
      </x:c>
      <x:c r="D13" s="48" t="str">
        <x:v>Current Opinion in Psychology</x:v>
      </x:c>
      <x:c r="E13" s="48" t="str">
        <x:v>同行评审综述</x:v>
      </x:c>
      <x:c r="F13" s="48" t="str">
        <x:v>自拍、身体意象、视觉社交媒体</x:v>
      </x:c>
      <x:c r="G13" s="49" t="str">
        <x:v>https://doi.org/10.1016/j.copsyc.2021.12.002</x:v>
      </x:c>
    </x:row>
    <x:row r="14" ht="54" customHeight="1">
      <x:c r="A14" s="99" t="n">
        <x:v>11</x:v>
      </x:c>
      <x:c r="B14" s="48" t="str">
        <x:v>Prichard等（2020）</x:v>
      </x:c>
      <x:c r="C14" s="48" t="str">
        <x:v>The Effect of Instagram #Fitspiration Images on Young Women's Mood, Body Image, and Exercise Behaviour</x:v>
      </x:c>
      <x:c r="D14" s="48" t="str">
        <x:v>Body Image</x:v>
      </x:c>
      <x:c r="E14" s="48" t="str">
        <x:v>实验研究</x:v>
      </x:c>
      <x:c r="F14" s="48" t="str">
        <x:v>健身内容、身材比较、身体不满意</x:v>
      </x:c>
      <x:c r="G14" s="49" t="str">
        <x:v>https://doi.org/10.1016/j.bodyim.2020.02.002</x:v>
      </x:c>
    </x:row>
    <x:row r="15" ht="54" customHeight="1">
      <x:c r="A15" s="99" t="n">
        <x:v>12</x:v>
      </x:c>
      <x:c r="B15" s="48" t="str">
        <x:v>Przybylski等（2013）</x:v>
      </x:c>
      <x:c r="C15" s="48" t="str">
        <x:v>Motivational, Emotional, and Behavioral Correlates of Fear of Missing Out</x:v>
      </x:c>
      <x:c r="D15" s="48" t="str">
        <x:v>Computers in Human Behavior</x:v>
      </x:c>
      <x:c r="E15" s="48" t="str">
        <x:v>量表与实证研究</x:v>
      </x:c>
      <x:c r="F15" s="48" t="str">
        <x:v>FOMO、归属需要、持续连接</x:v>
      </x:c>
      <x:c r="G15" s="49" t="str">
        <x:v>https://doi.org/10.1016/j.chb.2013.02.014</x:v>
      </x:c>
    </x:row>
    <x:row r="16" ht="54" customHeight="1">
      <x:c r="A16" s="99" t="n">
        <x:v>13</x:v>
      </x:c>
      <x:c r="B16" s="48" t="str">
        <x:v>Gupta与Sharma（2021）</x:v>
      </x:c>
      <x:c r="C16" s="48" t="str">
        <x:v>Fear of Missing Out: A Brief Overview of Origin, Theoretical Underpinnings and Relationship with Mental Health</x:v>
      </x:c>
      <x:c r="D16" s="48" t="str">
        <x:v>World Journal of Clinical Cases</x:v>
      </x:c>
      <x:c r="E16" s="48" t="str">
        <x:v>同行评审综述</x:v>
      </x:c>
      <x:c r="F16" s="48" t="str">
        <x:v>FOMO概念、问题性使用与心理健康</x:v>
      </x:c>
      <x:c r="G16" s="49" t="str">
        <x:v>https://pmc.ncbi.nlm.nih.gov/articles/PMC8283615/</x:v>
      </x:c>
    </x:row>
    <x:row r="17" ht="54" customHeight="1">
      <x:c r="A17" s="99" t="n">
        <x:v>14</x:v>
      </x:c>
      <x:c r="B17" s="48" t="str">
        <x:v>Schneider等（2017）</x:v>
      </x:c>
      <x:c r="C17" s="48" t="str">
        <x:v>Social Media Ostracism: The Effects of Being Excluded Online</x:v>
      </x:c>
      <x:c r="D17" s="48" t="str">
        <x:v>Computers in Human Behavior</x:v>
      </x:c>
      <x:c r="E17" s="48" t="str">
        <x:v>实验研究</x:v>
      </x:c>
      <x:c r="F17" s="48" t="str">
        <x:v>在线排除、未被邀请、归属威胁</x:v>
      </x:c>
      <x:c r="G17" s="49" t="str">
        <x:v>https://doi.org/10.1016/j.chb.2017.03.052</x:v>
      </x:c>
    </x:row>
    <x:row r="18" ht="54" customHeight="1">
      <x:c r="A18" s="99" t="n">
        <x:v>15</x:v>
      </x:c>
      <x:c r="B18" s="48" t="str">
        <x:v>Lutz与Schneider（2021）</x:v>
      </x:c>
      <x:c r="C18" s="48" t="str">
        <x:v>Is Receiving Dislikes in Social Media Still Better than Being Ignored? The Effects of Ostracism and Rejection on Need Threat and Coping Responses Online</x:v>
      </x:c>
      <x:c r="D18" s="48" t="str">
        <x:v>Media Psychology</x:v>
      </x:c>
      <x:c r="E18" s="48" t="str">
        <x:v>实验研究</x:v>
      </x:c>
      <x:c r="F18" s="48" t="str">
        <x:v>在线忽视、拒绝、无反馈</x:v>
      </x:c>
      <x:c r="G18" s="49" t="str">
        <x:v>https://doi.org/10.1080/15213269.2020.1799409</x:v>
      </x:c>
    </x:row>
    <x:row r="19" ht="54" customHeight="1">
      <x:c r="A19" s="99" t="n">
        <x:v>16</x:v>
      </x:c>
      <x:c r="B19" s="48" t="str">
        <x:v>Tobin等（2015）</x:v>
      </x:c>
      <x:c r="C19" s="48" t="str">
        <x:v>Threats to Belonging on Facebook: Lurking and Ostracism</x:v>
      </x:c>
      <x:c r="D19" s="48" t="str">
        <x:v>Social Influence</x:v>
      </x:c>
      <x:c r="E19" s="48" t="str">
        <x:v>实验研究</x:v>
      </x:c>
      <x:c r="F19" s="48" t="str">
        <x:v>点赞与评论反馈、归属感、无反馈</x:v>
      </x:c>
      <x:c r="G19" s="49" t="str">
        <x:v>https://doi.org/10.1080/15534510.2014.893924</x:v>
      </x:c>
    </x:row>
    <x:row r="20" ht="54" customHeight="1">
      <x:c r="A20" s="99" t="n">
        <x:v>17</x:v>
      </x:c>
      <x:c r="B20" s="48" t="str">
        <x:v>Burrow与Rainone（2016）</x:v>
      </x:c>
      <x:c r="C20" s="48" t="str">
        <x:v>How Many Likes Did I Get? Purpose Moderates Links Between Positive Social Media Feedback and Self-Esteem</x:v>
      </x:c>
      <x:c r="D20" s="48" t="str">
        <x:v>Journal of Experimental Social Psychology</x:v>
      </x:c>
      <x:c r="E20" s="48" t="str">
        <x:v>实验研究</x:v>
      </x:c>
      <x:c r="F20" s="48" t="str">
        <x:v>点赞反馈、短期自尊、评价焦虑</x:v>
      </x:c>
      <x:c r="G20" s="49" t="str">
        <x:v>https://doi.org/10.1016/j.jesp.2016.09.005</x:v>
      </x:c>
    </x:row>
    <x:row r="21" ht="54" customHeight="1">
      <x:c r="A21" s="99" t="n">
        <x:v>18</x:v>
      </x:c>
      <x:c r="B21" s="48" t="str">
        <x:v>Alkis等（2017）</x:v>
      </x:c>
      <x:c r="C21" s="48" t="str">
        <x:v>Development and Validation of Social Anxiety Scale for Social Media Users</x:v>
      </x:c>
      <x:c r="D21" s="48" t="str">
        <x:v>Computers in Human Behavior</x:v>
      </x:c>
      <x:c r="E21" s="48" t="str">
        <x:v>量表开发与验证</x:v>
      </x:c>
      <x:c r="F21" s="48" t="str">
        <x:v>发帖前焦虑、互动焦虑、隐私担忧</x:v>
      </x:c>
      <x:c r="G21" s="49" t="str">
        <x:v>https://doi.org/10.1016/j.chb.2017.03.011</x:v>
      </x:c>
    </x:row>
    <x:row r="22" ht="54" customHeight="1">
      <x:c r="A22" s="99" t="n">
        <x:v>19</x:v>
      </x:c>
      <x:c r="B22" s="48" t="str">
        <x:v>Wang等（2024）</x:v>
      </x:c>
      <x:c r="C22" s="48" t="str">
        <x:v>Testing, Revision and Application of the Social Anxiety Scale for Social Media Users in China</x:v>
      </x:c>
      <x:c r="D22" s="48" t="str">
        <x:v>Frontiers in Psychology</x:v>
      </x:c>
      <x:c r="E22" s="48" t="str">
        <x:v>中文版量表修订与验证</x:v>
      </x:c>
      <x:c r="F22" s="48" t="str">
        <x:v>中国社交媒体用户的发帖、互动和评价焦虑</x:v>
      </x:c>
      <x:c r="G22" s="49" t="str">
        <x:v>https://doi.org/10.3389/fpsyg.2024.1378093</x:v>
      </x:c>
    </x:row>
    <x:row r="23" ht="54" customHeight="1">
      <x:c r="A23" s="99" t="n">
        <x:v>20</x:v>
      </x:c>
      <x:c r="B23" s="48" t="str">
        <x:v>Marwick与boyd（2011）</x:v>
      </x:c>
      <x:c r="C23" s="48" t="str">
        <x:v>I Tweet Honestly, I Tweet Passionately: Twitter Users, Context Collapse, and the Imagined Audience</x:v>
      </x:c>
      <x:c r="D23" s="48" t="str">
        <x:v>New Media &amp; Society</x:v>
      </x:c>
      <x:c r="E23" s="48" t="str">
        <x:v>质性与传播学研究</x:v>
      </x:c>
      <x:c r="F23" s="48" t="str">
        <x:v>情境崩塌、想象受众、多重受众表达压力</x:v>
      </x:c>
      <x:c r="G23" s="49" t="str">
        <x:v>https://doi.org/10.1177/1461444810365313</x:v>
      </x:c>
    </x:row>
    <x:row r="24" ht="54" customHeight="1">
      <x:c r="A24" s="99" t="n">
        <x:v>21</x:v>
      </x:c>
      <x:c r="B24" s="48" t="str">
        <x:v>Buchanan等（2007）</x:v>
      </x:c>
      <x:c r="C24" s="48" t="str">
        <x:v>Development of Measures of Online Privacy Concern and Protection for Use on the Internet</x:v>
      </x:c>
      <x:c r="D24" s="48" t="str">
        <x:v>Journal of the American Society for Information Science and Technology</x:v>
      </x:c>
      <x:c r="E24" s="48" t="str">
        <x:v>量表开发与验证</x:v>
      </x:c>
      <x:c r="F24" s="48" t="str">
        <x:v>隐私泄露担忧、个人信息保护、数字足迹</x:v>
      </x:c>
      <x:c r="G24" s="49" t="str">
        <x:v>https://doi.org/10.1002/asi.20459</x:v>
      </x:c>
    </x:row>
    <x:row r="25" ht="54" customHeight="1">
      <x:c r="A25" s="99" t="n">
        <x:v>22</x:v>
      </x:c>
      <x:c r="B25" s="48" t="str">
        <x:v>Mai等（2015）</x:v>
      </x:c>
      <x:c r="C25" s="48" t="str">
        <x:v>I Know You've Seen It! Individual and Social Factors for Users' Chatting Behavior on Facebook</x:v>
      </x:c>
      <x:c r="D25" s="48" t="str">
        <x:v>Computers in Human Behavior</x:v>
      </x:c>
      <x:c r="E25" s="48" t="str">
        <x:v>同行评审实证研究</x:v>
      </x:c>
      <x:c r="F25" s="48" t="str">
        <x:v>已读提示、回复延迟、消息行为</x:v>
      </x:c>
      <x:c r="G25" s="49" t="str">
        <x:v>https://doi.org/10.1016/j.chb.2015.01.074</x:v>
      </x:c>
    </x:row>
    <x:row r="26" ht="54" customHeight="1">
      <x:c r="A26" s="99" t="n">
        <x:v>23</x:v>
      </x:c>
      <x:c r="B26" s="48" t="str">
        <x:v>Barber与Santuzzi（2015）</x:v>
      </x:c>
      <x:c r="C26" s="48" t="str">
        <x:v>Please Respond ASAP: Workplace Telepressure and Employee Recovery</x:v>
      </x:c>
      <x:c r="D26" s="48" t="str">
        <x:v>Journal of Occupational Health Psychology</x:v>
      </x:c>
      <x:c r="E26" s="48" t="str">
        <x:v>量表与实证研究</x:v>
      </x:c>
      <x:c r="F26" s="48" t="str">
        <x:v>及时回复压力、工作消息、在线可用性</x:v>
      </x:c>
      <x:c r="G26" s="49" t="str">
        <x:v>https://doi.org/10.1037/a0038278</x:v>
      </x:c>
    </x:row>
    <x:row r="27" ht="54" customHeight="1">
      <x:c r="A27" s="99" t="n">
        <x:v>24</x:v>
      </x:c>
      <x:c r="B27" s="48" t="str">
        <x:v>Reinecke等（2018）</x:v>
      </x:c>
      <x:c r="C27" s="48" t="str">
        <x:v>Permanently Online and Permanently Connected: Development and Validation of the Online Vigilance Scale</x:v>
      </x:c>
      <x:c r="D27" s="48" t="str">
        <x:v>PLOS ONE</x:v>
      </x:c>
      <x:c r="E27" s="48" t="str">
        <x:v>量表开发与验证</x:v>
      </x:c>
      <x:c r="F27" s="48" t="str">
        <x:v>在线警觉、显著性、反应性、监控性</x:v>
      </x:c>
      <x:c r="G27" s="49" t="str">
        <x:v>https://doi.org/10.1371/journal.pone.0205384</x:v>
      </x:c>
    </x:row>
    <x:row r="28" ht="54" customHeight="1">
      <x:c r="A28" s="99" t="n">
        <x:v>25</x:v>
      </x:c>
      <x:c r="B28" s="48" t="str">
        <x:v>Johannes等（2021）</x:v>
      </x:c>
      <x:c r="C28" s="48" t="str">
        <x:v>The Relationship Between Online Vigilance and Affective Well-Being in Everyday Life: Combining Smartphone Logging with Experience Sampling</x:v>
      </x:c>
      <x:c r="D28" s="48" t="str">
        <x:v>Media Psychology</x:v>
      </x:c>
      <x:c r="E28" s="48" t="str">
        <x:v>预注册经验抽样研究</x:v>
      </x:c>
      <x:c r="F28" s="48" t="str">
        <x:v>在线警觉、日常情绪、认知牵挂</x:v>
      </x:c>
      <x:c r="G28" s="49" t="str">
        <x:v>https://doi.org/10.1080/15213269.2020.1768122</x:v>
      </x:c>
    </x:row>
    <x:row r="29" ht="54" customHeight="1">
      <x:c r="A29" s="99" t="n">
        <x:v>26</x:v>
      </x:c>
      <x:c r="B29" s="48" t="str">
        <x:v>Yildirim与Correia（2015）</x:v>
      </x:c>
      <x:c r="C29" s="48" t="str">
        <x:v>Exploring the Dimensions of Nomophobia: Development and Validation of a Self-Reported Questionnaire</x:v>
      </x:c>
      <x:c r="D29" s="48" t="str">
        <x:v>Computers in Human Behavior</x:v>
      </x:c>
      <x:c r="E29" s="48" t="str">
        <x:v>量表开发与验证</x:v>
      </x:c>
      <x:c r="F29" s="48" t="str">
        <x:v>手机分离、失联、无法获取信息</x:v>
      </x:c>
      <x:c r="G29" s="49" t="str">
        <x:v>https://doi.org/10.1016/j.chb.2015.02.059</x:v>
      </x:c>
    </x:row>
    <x:row r="30" ht="54" customHeight="1">
      <x:c r="A30" s="99" t="n">
        <x:v>27</x:v>
      </x:c>
      <x:c r="B30" s="48" t="str">
        <x:v>Li等（2024）</x:v>
      </x:c>
      <x:c r="C30" s="48" t="str">
        <x:v>Mechanism Study of Social Media Overload on Health Self-Efficacy and Anxiety</x:v>
      </x:c>
      <x:c r="D30" s="48" t="str">
        <x:v>Heliyon</x:v>
      </x:c>
      <x:c r="E30" s="48" t="str">
        <x:v>同行评审实证研究</x:v>
      </x:c>
      <x:c r="F30" s="48" t="str">
        <x:v>社交媒体信息过载、疲劳、焦虑</x:v>
      </x:c>
      <x:c r="G30" s="49" t="str">
        <x:v>https://doi.org/10.1016/j.heliyon.2023.e23326</x:v>
      </x:c>
    </x:row>
    <x:row r="31" ht="54" customHeight="1">
      <x:c r="A31" s="99" t="n">
        <x:v>28</x:v>
      </x:c>
      <x:c r="B31" s="48" t="str">
        <x:v>Wang、Xu与Xie（2023）</x:v>
      </x:c>
      <x:c r="C31" s="48" t="str">
        <x:v>Social Media Overload and Anxiety Among University Students During the COVID-19 Omicron Wave Lockdown: A Cross-Sectional Study in Shanghai, China, 2022</x:v>
      </x:c>
      <x:c r="D31" s="48" t="str">
        <x:v>International Journal of Public Health</x:v>
      </x:c>
      <x:c r="E31" s="48" t="str">
        <x:v>横断面研究</x:v>
      </x:c>
      <x:c r="F31" s="48" t="str">
        <x:v>社交过载、信息压力、风险感知与焦虑</x:v>
      </x:c>
      <x:c r="G31" s="49" t="str">
        <x:v>https://doi.org/10.3389/ijph.2022.1605363</x:v>
      </x:c>
    </x:row>
    <x:row r="32" ht="54" customHeight="1">
      <x:c r="A32" s="99" t="n">
        <x:v>29</x:v>
      </x:c>
      <x:c r="B32" s="48" t="str">
        <x:v>Dhir等（2018）</x:v>
      </x:c>
      <x:c r="C32" s="48" t="str">
        <x:v>Online Social Media Fatigue and Psychological Wellbeing—A Study of Compulsive Use, Fear of Missing Out, Fatigue, Anxiety and Depression</x:v>
      </x:c>
      <x:c r="D32" s="48" t="str">
        <x:v>International Journal of Information Management</x:v>
      </x:c>
      <x:c r="E32" s="48" t="str">
        <x:v>重复横断面实证研究</x:v>
      </x:c>
      <x:c r="F32" s="48" t="str">
        <x:v>社交媒体疲劳、FOMO、焦虑</x:v>
      </x:c>
      <x:c r="G32" s="49" t="str">
        <x:v>https://doi.org/10.1016/j.ijinfomgt.2018.01.012</x:v>
      </x:c>
    </x:row>
    <x:row r="33" ht="54" customHeight="1">
      <x:c r="A33" s="99" t="n">
        <x:v>30</x:v>
      </x:c>
      <x:c r="B33" s="48" t="str">
        <x:v>Satici等（2023；在线发表2022）</x:v>
      </x:c>
      <x:c r="C33" s="48" t="str">
        <x:v>Doomscrolling Scale: Its Association with Personality Traits, Psychological Distress, Social Media Use, and Wellbeing</x:v>
      </x:c>
      <x:c r="D33" s="48" t="str">
        <x:v>Applied Research in Quality of Life</x:v>
      </x:c>
      <x:c r="E33" s="48" t="str">
        <x:v>量表开发与实证研究</x:v>
      </x:c>
      <x:c r="F33" s="48" t="str">
        <x:v>末日刷屏、心理痛苦、FOMO、幸福感</x:v>
      </x:c>
      <x:c r="G33" s="49" t="str">
        <x:v>https://doi.org/10.1007/s11482-022-10110-7</x:v>
      </x:c>
    </x:row>
    <x:row r="34" ht="54" customHeight="1">
      <x:c r="A34" s="99" t="n">
        <x:v>31</x:v>
      </x:c>
      <x:c r="B34" s="48" t="str">
        <x:v>Holman、Garfin与Silver（2014）</x:v>
      </x:c>
      <x:c r="C34" s="48" t="str">
        <x:v>Media's Role in Broadcasting Acute Stress Following the Boston Marathon Bombings</x:v>
      </x:c>
      <x:c r="D34" s="48" t="str">
        <x:v>Proceedings of the National Academy of Sciences</x:v>
      </x:c>
      <x:c r="E34" s="48" t="str">
        <x:v>群体调查研究</x:v>
      </x:c>
      <x:c r="F34" s="48" t="str">
        <x:v>灾难媒体暴露、急性应激、重复影像</x:v>
      </x:c>
      <x:c r="G34" s="49" t="str">
        <x:v>https://doi.org/10.1073/pnas.1316265110</x:v>
      </x:c>
    </x:row>
    <x:row r="35" ht="54" customHeight="1">
      <x:c r="A35" s="99" t="n">
        <x:v>32</x:v>
      </x:c>
      <x:c r="B35" s="48" t="str">
        <x:v>Te Poel等（2016）</x:v>
      </x:c>
      <x:c r="C35" s="48" t="str">
        <x:v>The Curious Case of Cyberchondria: A Longitudinal Study on the Reciprocal Relationship Between Health Anxiety and Online Health Information Seeking</x:v>
      </x:c>
      <x:c r="D35" s="48" t="str">
        <x:v>Journal of Anxiety Disorders</x:v>
      </x:c>
      <x:c r="E35" s="48" t="str">
        <x:v>纵向研究</x:v>
      </x:c>
      <x:c r="F35" s="48" t="str">
        <x:v>网络疑病、健康焦虑与信息搜索循环</x:v>
      </x:c>
      <x:c r="G35" s="49" t="str">
        <x:v>https://doi.org/10.1016/j.janxdis.2016.07.009</x:v>
      </x:c>
    </x:row>
    <x:row r="36" ht="54" customHeight="1">
      <x:c r="A36" s="99" t="n">
        <x:v>33</x:v>
      </x:c>
      <x:c r="B36" s="48" t="str">
        <x:v>Xiao Wenchang等（2026）</x:v>
      </x:c>
      <x:c r="C36" s="48" t="str">
        <x:v>Health Information Anxiety in Social Media Users During Public Health Emergencies: A Qualitative Comparative Analysis Using Attribution Theory</x:v>
      </x:c>
      <x:c r="D36" s="48" t="str">
        <x:v>PLOS ONE</x:v>
      </x:c>
      <x:c r="E36" s="48" t="str">
        <x:v>情境模拟与定性比较分析</x:v>
      </x:c>
      <x:c r="F36" s="48" t="str">
        <x:v>健康信息焦虑、信息过载、突发公共卫生事件</x:v>
      </x:c>
      <x:c r="G36" s="49" t="str">
        <x:v>https://doi.org/10.1371/journal.pone.0340674</x:v>
      </x:c>
    </x:row>
    <x:row r="37" ht="54" customHeight="1">
      <x:c r="A37" s="99" t="n">
        <x:v>34</x:v>
      </x:c>
      <x:c r="B37" s="48" t="str">
        <x:v>Hamm等（2015）</x:v>
      </x:c>
      <x:c r="C37" s="48" t="str">
        <x:v>Prevalence and Effect of Cyberbullying on Children and Young People: A Scoping Review of Social Media Studies</x:v>
      </x:c>
      <x:c r="D37" s="48" t="str">
        <x:v>JAMA Pediatrics</x:v>
      </x:c>
      <x:c r="E37" s="48" t="str">
        <x:v>范围综述</x:v>
      </x:c>
      <x:c r="F37" s="48" t="str">
        <x:v>网络欺凌、青少年心理影响</x:v>
      </x:c>
      <x:c r="G37" s="49" t="str">
        <x:v>https://doi.org/10.1001/jamapediatrics.2015.0944</x:v>
      </x:c>
    </x:row>
    <x:row r="38" ht="54" customHeight="1">
      <x:c r="A38" s="99" t="n">
        <x:v>35</x:v>
      </x:c>
      <x:c r="B38" s="48" t="str">
        <x:v>Stevens、Nurse与Arief（2021）</x:v>
      </x:c>
      <x:c r="C38" s="48" t="str">
        <x:v>Cyber Stalking, Cyber Harassment, and Adult Mental Health: A Systematic Review</x:v>
      </x:c>
      <x:c r="D38" s="48" t="str">
        <x:v>Cyberpsychology, Behavior, and Social Networking</x:v>
      </x:c>
      <x:c r="E38" s="48" t="str">
        <x:v>系统综述</x:v>
      </x:c>
      <x:c r="F38" s="48" t="str">
        <x:v>网络骚扰、网络跟踪、持续警觉</x:v>
      </x:c>
      <x:c r="G38" s="49" t="str">
        <x:v>https://doi.org/10.1089/cyber.2020.0253</x:v>
      </x:c>
    </x:row>
    <x:row r="39" ht="54" customHeight="1">
      <x:c r="A39" s="99" t="n">
        <x:v>36</x:v>
      </x:c>
      <x:c r="B39" s="48" t="str">
        <x:v>Cohen（2003）</x:v>
      </x:c>
      <x:c r="C39" s="48" t="str">
        <x:v>Parasocial Breakups: Measuring Individual Differences in Responses to the Dissolution of Parasocial Relationships</x:v>
      </x:c>
      <x:c r="D39" s="48" t="str">
        <x:v>Mass Communication and Society</x:v>
      </x:c>
      <x:c r="E39" s="48" t="str">
        <x:v>量表开发与实证研究</x:v>
      </x:c>
      <x:c r="F39" s="48" t="str">
        <x:v>拟社会关系中断、失落反应</x:v>
      </x:c>
      <x:c r="G39" s="49" t="str">
        <x:v>https://doi.org/10.1207/S15327825MCS0602_5</x:v>
      </x:c>
    </x:row>
    <x:row r="40" ht="54" customHeight="1">
      <x:c r="A40" s="99" t="n">
        <x:v>37</x:v>
      </x:c>
      <x:c r="B40" s="48" t="str">
        <x:v>Cohen（2004）</x:v>
      </x:c>
      <x:c r="C40" s="48" t="str">
        <x:v>Parasocial Break-Up from Favorite Television Characters: The Role of Attachment Styles and Relationship Intensity</x:v>
      </x:c>
      <x:c r="D40" s="48" t="str">
        <x:v>Journal of Social and Personal Relationships</x:v>
      </x:c>
      <x:c r="E40" s="48" t="str">
        <x:v>同行评审实证研究</x:v>
      </x:c>
      <x:c r="F40" s="48" t="str">
        <x:v>拟社会关系强度、依恋与关系中断</x:v>
      </x:c>
      <x:c r="G40" s="49" t="str">
        <x:v>https://doi.org/10.1177/0265407504041374</x:v>
      </x:c>
    </x:row>
    <x:row r="41" ht="54" customHeight="1">
      <x:c r="A41" s="99" t="n">
        <x:v>38</x:v>
      </x:c>
      <x:c r="B41" s="48" t="str">
        <x:v>Cotter（2019）</x:v>
      </x:c>
      <x:c r="C41" s="48" t="str">
        <x:v>Playing the Visibility Game: How Digital Influencers and Algorithms Negotiate Influence on Instagram</x:v>
      </x:c>
      <x:c r="D41" s="48" t="str">
        <x:v>New Media &amp; Society</x:v>
      </x:c>
      <x:c r="E41" s="48" t="str">
        <x:v>质性平台劳动研究</x:v>
      </x:c>
      <x:c r="F41" s="48" t="str">
        <x:v>创作者可见性劳动、算法不确定性</x:v>
      </x:c>
      <x:c r="G41" s="49" t="str">
        <x:v>https://doi.org/10.1177/1461444818815684</x:v>
      </x:c>
    </x:row>
    <x:row r="42" ht="54" customHeight="1">
      <x:c r="A42" s="100" t="n">
        <x:v>39</x:v>
      </x:c>
      <x:c r="B42" s="51" t="str">
        <x:v>Bishop（2019）</x:v>
      </x:c>
      <x:c r="C42" s="51" t="str">
        <x:v>Managing Visibility on YouTube Through Algorithmic Gossip</x:v>
      </x:c>
      <x:c r="D42" s="51" t="str">
        <x:v>New Media &amp; Society</x:v>
      </x:c>
      <x:c r="E42" s="51" t="str">
        <x:v>质性平台研究</x:v>
      </x:c>
      <x:c r="F42" s="51" t="str">
        <x:v>算法传闻、创作者对平台规则的理解与压力</x:v>
      </x:c>
      <x:c r="G42" s="52" t="str">
        <x:v>https://doi.org/10.1177/1461444819854731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6f650332fcd44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46" hidden="0" customWidth="1"/>
  </x:cols>
  <x:sheetData>
    <x:row r="1" ht="32" customHeight="1">
      <x:c r="A1" s="5" t="str">
        <x:v>知识库质量检查</x:v>
      </x:c>
      <x:c r="B1" s="5"/>
      <x:c r="C1" s="5"/>
      <x:c r="D1" s="5"/>
    </x:row>
    <x:row r="3" ht="30" customHeight="1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 ht="28" customHeight="1">
      <x:c r="A4" s="157" t="str">
        <x:v>正式条目总数</x:v>
      </x:c>
      <x:c r="B4" s="163" t="n">
        <x:f>COUNTA('导入表'!A4:A33)</x:f>
        <x:v>30</x:v>
      </x:c>
      <x:c r="C4" s="163" t="str">
        <x:f>IF(AND(B4&gt;=25,B4&lt;=35),"通过","需检查")</x:f>
        <x:v>通过</x:v>
      </x:c>
      <x:c r="D4" s="124" t="str">
        <x:v>目标：约 30 条</x:v>
      </x:c>
    </x:row>
    <x:row r="5" ht="28" customHeight="1">
      <x:c r="A5" s="158" t="str">
        <x:v>空标题数量</x:v>
      </x:c>
      <x:c r="B5" s="164" t="n">
        <x:f>COUNTIF('导入表'!A4:A33,"")</x:f>
        <x:v>0</x:v>
      </x:c>
      <x:c r="C5" s="164" t="str">
        <x:f>IF(B5=0,"通过","需修正")</x:f>
        <x:v>通过</x:v>
      </x:c>
      <x:c r="D5" s="127" t="str">
        <x:v>必须为 0</x:v>
      </x:c>
    </x:row>
    <x:row r="6" ht="28" customHeight="1">
      <x:c r="A6" s="158" t="str">
        <x:v>空正文数量</x:v>
      </x:c>
      <x:c r="B6" s="164" t="n">
        <x:f>COUNTIF('导入表'!C4:C33,"")</x:f>
        <x:v>0</x:v>
      </x:c>
      <x:c r="C6" s="164" t="str">
        <x:f>IF(B6=0,"通过","需修正")</x:f>
        <x:v>通过</x:v>
      </x:c>
      <x:c r="D6" s="127" t="str">
        <x:v>必须为 0</x:v>
      </x:c>
    </x:row>
    <x:row r="7" ht="28" customHeight="1">
      <x:c r="A7" s="158" t="str">
        <x:v>分类名称不一致数量</x:v>
      </x:c>
      <x:c r="B7" s="164" t="n">
        <x:f>COUNTIF('导入表'!B4:B33,"&lt;&gt;焦虑类型解释")</x:f>
        <x:v>0</x:v>
      </x:c>
      <x:c r="C7" s="164" t="str">
        <x:f>IF(B7=0,"通过","需修正")</x:f>
        <x:v>通过</x:v>
      </x:c>
      <x:c r="D7" s="127" t="str">
        <x:v>必须为 0</x:v>
      </x:c>
    </x:row>
    <x:row r="8" ht="28" customHeight="1">
      <x:c r="A8" s="158" t="str">
        <x:v>首页推荐数量</x:v>
      </x:c>
      <x:c r="B8" s="164" t="n">
        <x:f>COUNTIF('导入表'!G4:G33,"是")</x:f>
        <x:v>6</x:v>
      </x:c>
      <x:c r="C8" s="164" t="str">
        <x:f>IF(AND(B8&gt;=B4*15%,B8&lt;=B4*25%),"通过","需调整")</x:f>
        <x:v>通过</x:v>
      </x:c>
      <x:c r="D8" s="127" t="str">
        <x:v>建议占总数 15%—25%</x:v>
      </x:c>
    </x:row>
    <x:row r="9" ht="28" customHeight="1">
      <x:c r="A9" s="158" t="str">
        <x:v>首页推荐占比</x:v>
      </x:c>
      <x:c r="B9" s="169" t="n">
        <x:f>B8/B4</x:f>
        <x:v>0.2</x:v>
      </x:c>
      <x:c r="C9" s="164" t="str">
        <x:f>IF(AND(B9&gt;=15%,B9&lt;=25%),"通过","需调整")</x:f>
        <x:v>通过</x:v>
      </x:c>
      <x:c r="D9" s="127" t="str">
        <x:v>建议 15%—25%</x:v>
      </x:c>
    </x:row>
    <x:row r="10" ht="28" customHeight="1">
      <x:c r="A10" s="158" t="str">
        <x:v>无效推荐值数量</x:v>
      </x:c>
      <x:c r="B10" s="164" t="n">
        <x:f>COUNTIF('导入表'!G4:G33,"&lt;&gt;是")-COUNTIF('导入表'!G4:G33,"否")</x:f>
        <x:v>0</x:v>
      </x:c>
      <x:c r="C10" s="164" t="str">
        <x:f>IF(B10=0,"通过","需修正")</x:f>
        <x:v>通过</x:v>
      </x:c>
      <x:c r="D10" s="127" t="str">
        <x:v>只能为“是”或“否”</x:v>
      </x:c>
    </x:row>
    <x:row r="11" ht="28" customHeight="1">
      <x:c r="A11" s="158" t="str">
        <x:v>重复标题数量</x:v>
      </x:c>
      <x:c r="B11" s="164" t="n">
        <x:v>0</x:v>
      </x:c>
      <x:c r="C11" s="164" t="str">
        <x:f>IF(B11=0,"通过","需修正")</x:f>
        <x:v>通过</x:v>
      </x:c>
      <x:c r="D11" s="127" t="str">
        <x:v>脚本逐条校验，必须为 0</x:v>
      </x:c>
    </x:row>
    <x:row r="12" ht="28" customHeight="1">
      <x:c r="A12" s="158" t="str">
        <x:v>标题最大长度</x:v>
      </x:c>
      <x:c r="B12" s="164" t="n">
        <x:v>19</x:v>
      </x:c>
      <x:c r="C12" s="164" t="str">
        <x:f>IF(B12&lt;=60,"通过","需修正")</x:f>
        <x:v>通过</x:v>
      </x:c>
      <x:c r="D12" s="127" t="str">
        <x:v>≤60 字</x:v>
      </x:c>
    </x:row>
    <x:row r="13" ht="28" customHeight="1">
      <x:c r="A13" s="158" t="str">
        <x:v>正文最短长度</x:v>
      </x:c>
      <x:c r="B13" s="164" t="n">
        <x:v>428</x:v>
      </x:c>
      <x:c r="C13" s="164" t="str">
        <x:f>IF(B13&gt;=400,"通过","需检查")</x:f>
        <x:v>通过</x:v>
      </x:c>
      <x:c r="D13" s="127" t="str">
        <x:v>本版约 400 字以上</x:v>
      </x:c>
    </x:row>
    <x:row r="14" ht="28" customHeight="1">
      <x:c r="A14" s="158" t="str">
        <x:v>正文最大长度</x:v>
      </x:c>
      <x:c r="B14" s="164" t="n">
        <x:v>525</x:v>
      </x:c>
      <x:c r="C14" s="164" t="str">
        <x:f>IF(B14&lt;=5000,"通过","需修正")</x:f>
        <x:v>通过</x:v>
      </x:c>
      <x:c r="D14" s="127" t="str">
        <x:v>≤5000 字</x:v>
      </x:c>
    </x:row>
    <x:row r="15" ht="28" customHeight="1">
      <x:c r="A15" s="158" t="str">
        <x:v>单条最多标签数</x:v>
      </x:c>
      <x:c r="B15" s="164" t="n">
        <x:v>4</x:v>
      </x:c>
      <x:c r="C15" s="164" t="str">
        <x:f>IF(B15&lt;=5,"通过","需修正")</x:f>
        <x:v>通过</x:v>
      </x:c>
      <x:c r="D15" s="127" t="str">
        <x:v>≤5 个</x:v>
      </x:c>
    </x:row>
    <x:row r="16" ht="28" customHeight="1">
      <x:c r="A16" s="158" t="str">
        <x:v>最长单个标签</x:v>
      </x:c>
      <x:c r="B16" s="164" t="n">
        <x:v>10</x:v>
      </x:c>
      <x:c r="C16" s="164" t="str">
        <x:f>IF(B16&lt;=10,"通过","需修正")</x:f>
        <x:v>通过</x:v>
      </x:c>
      <x:c r="D16" s="127" t="str">
        <x:v>≤10 字</x:v>
      </x:c>
    </x:row>
    <x:row r="17" ht="28" customHeight="1">
      <x:c r="A17" s="158" t="str">
        <x:v>适用场景最大长度</x:v>
      </x:c>
      <x:c r="B17" s="164" t="n">
        <x:v>38</x:v>
      </x:c>
      <x:c r="C17" s="164" t="str">
        <x:f>IF(B17&lt;=200,"通过","需修正")</x:f>
        <x:v>通过</x:v>
      </x:c>
      <x:c r="D17" s="127" t="str">
        <x:v>≤200 字</x:v>
      </x:c>
    </x:row>
    <x:row r="18" ht="28" customHeight="1">
      <x:c r="A18" s="159" t="str">
        <x:v>来源说明最大长度</x:v>
      </x:c>
      <x:c r="B18" s="165" t="n">
        <x:v>115</x:v>
      </x:c>
      <x:c r="C18" s="165" t="str">
        <x:f>IF(B18&lt;=200,"通过","需修正")</x:f>
        <x:v>通过</x:v>
      </x:c>
      <x:c r="D18" s="130" t="str">
        <x:v>≤200 字</x:v>
      </x:c>
    </x:row>
  </x:sheetData>
  <x:mergeCells>
    <x:mergeCell ref="A1:D1"/>
  </x:mergeCells>
  <x:conditionalFormatting sqref="C4:C18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52" hidden="0" customWidth="1"/>
    <x:col min="4" max="4" width="35" hidden="0" customWidth="1"/>
  </x:cols>
  <x:sheetData>
    <x:row r="1" ht="32" customHeight="1">
      <x:c r="A1" s="5" t="str">
        <x:v>本轮修订说明</x:v>
      </x:c>
      <x:c r="B1" s="5"/>
      <x:c r="C1" s="5"/>
      <x:c r="D1" s="5"/>
    </x:row>
    <x:row r="3">
      <x:c r="A3" s="21" t="str">
        <x:v>修订项</x:v>
      </x:c>
      <x:c r="B3" s="21" t="str">
        <x:v>原结果主要问题</x:v>
      </x:c>
      <x:c r="C3" s="21" t="str">
        <x:v>本版处理</x:v>
      </x:c>
      <x:c r="D3" s="21" t="str">
        <x:v>落地结果</x:v>
      </x:c>
    </x:row>
    <x:row r="4" ht="58" customHeight="1">
      <x:c r="A4" s="189" t="str">
        <x:v>来源体系</x:v>
      </x:c>
      <x:c r="B4" s="172" t="str">
        <x:v>同行评审论文、博客、商业网站和无法核验来源混用</x:v>
      </x:c>
      <x:c r="C4" s="172" t="str">
        <x:v>重新匹配原始论文、系统综述、量表及稳定 DOI/期刊链接</x:v>
      </x:c>
      <x:c r="D4" s="173" t="str">
        <x:v>来源索引共 39 项</x:v>
      </x:c>
    </x:row>
    <x:row r="5" ht="58" customHeight="1">
      <x:c r="A5" s="190" t="str">
        <x:v>科学表达</x:v>
      </x:c>
      <x:c r="B5" s="175" t="str">
        <x:v>存在无来源的脑区、神经递质、进化机制和精确比例断言</x:v>
      </x:c>
      <x:c r="C5" s="175" t="str">
        <x:v>删除无法由文献直接支持的神经科学解释与自创数字</x:v>
      </x:c>
      <x:c r="D5" s="176" t="str">
        <x:v>正文仅保留可谨慎解释的心理与平台机制</x:v>
      </x:c>
    </x:row>
    <x:row r="6" ht="58" customHeight="1">
      <x:c r="A6" s="190" t="str">
        <x:v>因果边界</x:v>
      </x:c>
      <x:c r="B6" s="175" t="str">
        <x:v>多处把相关性写成必然因果，并承诺方法一定有效</x:v>
      </x:c>
      <x:c r="C6" s="175" t="str">
        <x:v>统一改为“相关、可能、部分研究发现”，补充个体差异与研究限制</x:v>
      </x:c>
      <x:c r="D6" s="176" t="str">
        <x:v>不作疗效保证，不作临床诊断</x:v>
      </x:c>
    </x:row>
    <x:row r="7" ht="58" customHeight="1">
      <x:c r="A7" s="190" t="str">
        <x:v>术语</x:v>
      </x:c>
      <x:c r="B7" s="175" t="str">
        <x:v>将 parasocial relationship 译作带贬义的“寄生关系”</x:v>
      </x:c>
      <x:c r="C7" s="175" t="str">
        <x:v>统一为“拟社会关系 / 拟社会关系中断”</x:v>
      </x:c>
      <x:c r="D7" s="176" t="str">
        <x:v>术语更准确、中性</x:v>
      </x:c>
    </x:row>
    <x:row r="8" ht="58" customHeight="1">
      <x:c r="A8" s="190" t="str">
        <x:v>分类边界</x:v>
      </x:c>
      <x:c r="B8" s="175" t="str">
        <x:v>混入营销套路、人设拆解、CBT步骤和具体行动方案</x:v>
      </x:c>
      <x:c r="C8" s="175" t="str">
        <x:v>本表只解释焦虑类型与形成机制；具体方法留给其他分类</x:v>
      </x:c>
      <x:c r="D8" s="176" t="str">
        <x:v>与其余七类边界更清晰</x:v>
      </x:c>
    </x:row>
    <x:row r="9" ht="58" customHeight="1">
      <x:c r="A9" s="190" t="str">
        <x:v>主题结构</x:v>
      </x:c>
      <x:c r="B9" s="175" t="str">
        <x:v>部分目录与正文不一致，且存在近义重复</x:v>
      </x:c>
      <x:c r="C9" s="175" t="str">
        <x:v>重新筛选并重写 30 个互相区分的主题</x:v>
      </x:c>
      <x:c r="D9" s="176" t="str">
        <x:v>30 条、无重复标题</x:v>
      </x:c>
    </x:row>
    <x:row r="10" ht="58" customHeight="1">
      <x:c r="A10" s="190" t="str">
        <x:v>数据规范</x:v>
      </x:c>
      <x:c r="B10" s="175" t="str">
        <x:v>Markdown、HTML换行和字段缺失混用，无法稳定导入</x:v>
      </x:c>
      <x:c r="C10" s="175" t="str">
        <x:v>统一七字段、保留原生 Markdown 换行、加入下拉校验</x:v>
      </x:c>
      <x:c r="D10" s="176" t="str">
        <x:v>可作为批量导入源表</x:v>
      </x:c>
    </x:row>
    <x:row r="11" ht="58" customHeight="1">
      <x:c r="A11" s="191" t="str">
        <x:v>首页推荐</x:v>
      </x:c>
      <x:c r="B11" s="178" t="str">
        <x:v>推荐比例不稳定</x:v>
      </x:c>
      <x:c r="C11" s="178" t="str">
        <x:v>选择 6 条通用性较高内容</x:v>
      </x:c>
      <x:c r="D11" s="179" t="str">
        <x:v>6/30，比例 20%</x:v>
      </x:c>
    </x:row>
  </x:sheetData>
  <x:mergeCells>
    <x:mergeCell ref="A1:D1"/>
  </x:mergeCells>
  <x:pageMargins left="0.7" right="0.7" top="0.75" bottom="0.75" header="0.3" footer="0.3"/>
</x:worksheet>
</file>