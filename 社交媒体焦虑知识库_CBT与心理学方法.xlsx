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774bccac5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表" sheetId="1" r:id="R7761387647cb449f"/>
    <x:sheet xmlns:r="http://schemas.openxmlformats.org/officeDocument/2006/relationships" name="方法地图" sheetId="2" r:id="R3ba1cd5e27e6447a"/>
    <x:sheet xmlns:r="http://schemas.openxmlformats.org/officeDocument/2006/relationships" name="来源索引" sheetId="3" r:id="R7ff7c16c86404dbb"/>
    <x:sheet xmlns:r="http://schemas.openxmlformats.org/officeDocument/2006/relationships" name="使用边界" sheetId="4" r:id="R0faf65a6ab2d4670"/>
    <x:sheet xmlns:r="http://schemas.openxmlformats.org/officeDocument/2006/relationships" name="质量检查" sheetId="5" r:id="R47eeb269e146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14E5A"/>
      <x:name val="Carlito"/>
    </x:font>
    <x:font>
      <x:b/>
      <x:sz val="11"/>
      <x:color rgb="FFFFFFFF"/>
      <x:name val="Carlito"/>
    </x:font>
    <x:font>
      <x:sz val="10"/>
      <x:color rgb="FF17343A"/>
      <x:name val="Carlito"/>
    </x:font>
    <x:font>
      <x:b/>
      <x:sz val="10"/>
      <x:color rgb="FF214E5A"/>
      <x:name val="Carlito"/>
    </x:font>
    <x:font>
      <x:b/>
      <x:sz val="11"/>
      <x:color rgb="FF214E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4E5A"/>
      </x:patternFill>
    </x:fill>
    <x:fill>
      <x:patternFill patternType="solid">
        <x:fgColor rgb="FFDDEFF1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70405f7d6416b" /><Relationship Type="http://schemas.openxmlformats.org/officeDocument/2006/relationships/theme" Target="/xl/theme/theme1.xml" Id="Rd0060e3b001a405f" /><Relationship Type="http://schemas.openxmlformats.org/officeDocument/2006/relationships/sharedStrings" Target="/xl/sharedStrings.xml" Id="R4c222fed2de842c8" /><Relationship Type="http://schemas.openxmlformats.org/officeDocument/2006/relationships/worksheet" Target="/xl/worksheets/sheet1.xml" Id="R7761387647cb449f" /><Relationship Type="http://schemas.openxmlformats.org/officeDocument/2006/relationships/worksheet" Target="/xl/worksheets/sheet2.xml" Id="R3ba1cd5e27e6447a" /><Relationship Type="http://schemas.openxmlformats.org/officeDocument/2006/relationships/worksheet" Target="/xl/worksheets/sheet3.xml" Id="R7ff7c16c86404dbb" /><Relationship Type="http://schemas.openxmlformats.org/officeDocument/2006/relationships/worksheet" Target="/xl/worksheets/sheet4.xml" Id="R0faf65a6ab2d4670" /><Relationship Type="http://schemas.openxmlformats.org/officeDocument/2006/relationships/worksheet" Target="/xl/worksheets/sheet5.xml" Id="R47eeb269e1464f45" /></Relationships>
</file>

<file path=xl/tables/table1.xml><?xml version="1.0" encoding="utf-8"?>
<x:table xmlns:x="http://schemas.openxmlformats.org/spreadsheetml/2006/main" id="1" name="CBTImportTable" displayName="CBTImportTable" ref="A3:G23" headerRowCount="1">
  <x:tableColumns count="7">
    <x:tableColumn id="1" name="title"/>
    <x:tableColumn id="2" name="category"/>
    <x:tableColumn id="3" name="body"/>
    <x:tableColumn id="4" name="tags"/>
    <x:tableColumn id="5" name="applicable_scene"/>
    <x:tableColumn id="6" name="source_note"/>
    <x:tableColumn id="7" name="is_home_recommended"/>
  </x:tableColumns>
  <x:tableStyleInfo name="TableStyleMedium2" showRowStripes="1"/>
</x:table>
</file>

<file path=xl/tables/table2.xml><?xml version="1.0" encoding="utf-8"?>
<x:table xmlns:x="http://schemas.openxmlformats.org/spreadsheetml/2006/main" id="2" name="CBTSourceTable" displayName="CBTSourceTable" ref="A3:G23" headerRowCount="1">
  <x:tableColumns count="7">
    <x:tableColumn id="1" name="编号"/>
    <x:tableColumn id="2" name="作者 / 年份"/>
    <x:tableColumn id="3" name="完整题名"/>
    <x:tableColumn id="4" name="期刊 / 来源"/>
    <x:tableColumn id="5" name="证据类型"/>
    <x:tableColumn id="6" name="主要支持主题"/>
    <x:tableColumn id="7" name="DOI / 稳定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4f399d021745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c66bb4593d4ce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78" hidden="0" customWidth="1"/>
    <x:col min="4" max="4" width="29" hidden="0" customWidth="1"/>
    <x:col min="5" max="5" width="45" hidden="0" customWidth="1"/>
    <x:col min="6" max="6" width="55" hidden="0" customWidth="1"/>
    <x:col min="7" max="7" width="18" hidden="0" customWidth="1"/>
  </x:cols>
  <x:sheetData>
    <x:row r="1" ht="32" customHeight="1">
      <x:c r="A1" s="5" t="str">
        <x:v>社交媒体焦虑知识库｜CBT / 心理学方法</x:v>
      </x:c>
      <x:c r="B1" s="5"/>
      <x:c r="C1" s="5"/>
      <x:c r="D1" s="5"/>
      <x:c r="E1" s="5"/>
      <x:c r="F1" s="5"/>
      <x:c r="G1" s="5"/>
    </x:row>
    <x:row r="2" ht="28" customHeight="1">
      <x:c r="A2" s="13" t="str">
        <x:v>共 20 条；正文为 Markdown；category 固定为“CBT / 心理学方法”；首页推荐 4 条（20%）。</x:v>
      </x:c>
      <x:c r="B2" s="13"/>
      <x:c r="C2" s="13"/>
      <x:c r="D2" s="13"/>
      <x:c r="E2" s="13"/>
      <x:c r="F2" s="13"/>
      <x:c r="G2" s="13"/>
    </x:row>
    <x:row r="3">
      <x:c r="A3" s="21" t="str">
        <x:v>title</x:v>
      </x:c>
      <x:c r="B3" s="21" t="str">
        <x:v>category</x:v>
      </x:c>
      <x:c r="C3" s="21" t="str">
        <x:v>body</x:v>
      </x:c>
      <x:c r="D3" s="21" t="str">
        <x:v>tags</x:v>
      </x:c>
      <x:c r="E3" s="21" t="str">
        <x:v>applicable_scene</x:v>
      </x:c>
      <x:c r="F3" s="21" t="str">
        <x:v>source_note</x:v>
      </x:c>
      <x:c r="G3" s="21" t="str">
        <x:v>is_home_recommended</x:v>
      </x:c>
    </x:row>
    <x:row r="4" ht="122" customHeight="1">
      <x:c r="A4" s="80" t="str">
        <x:v>触发—想法—情绪—行为四步记录法</x:v>
      </x:c>
      <x:c r="B4" s="86" t="str">
        <x:v>CBT / 心理学方法</x:v>
      </x:c>
      <x:c r="C4" s="45" t="str">
        <x:v>## 方法是什么
这是一种基础的CBT自我监测方法，用来把“刷完突然很难受”拆成可观察的环节：发生了什么、脑中闪过什么解释、情绪和身体反应有多强、随后做了什么。它的目标不是立即把情绪消掉，而是找到焦虑循环中可以调整的位置。
## 怎么使用
1. **触发**：只写可观察事实，例如“看到同学发布录取通知”。
2. **自动想法**：记录第一时间出现的话，例如“所有人都比我快”。
3. **情绪与强度**：写出焦虑、羞耻、嫉妒或失落，并用0—100评分。
4. **行为**：记录继续刷、退出、反复看主页、删动态或回避学习等反应。
完成后再问：这个行为短期帮了我什么，长期又带来了什么？
## 社交媒体场景示例
触发是“发帖20分钟只有两个赞”；自动想法是“大家觉得我很可笑”；焦虑75分；行为是每分钟刷新一次并准备删帖。把它写下来后，问题就从“我整个人不行”变成了一个可以检查的具体推断。
## 使用边界
记录不是审讯自己，也不要求每次情绪都分析。若记录让你反复纠缠细节，可以缩短为四句话。若焦虑持续严重影响睡眠、学习、工作或安全，应寻求专业评估。</x:v>
      </x:c>
      <x:c r="D4" s="45" t="str">
        <x:v>CBT记录,自动想法,情绪评分,行为循环</x:v>
      </x:c>
      <x:c r="E4" s="45" t="str">
        <x:v>刷到比较内容、发帖等待反馈或被忽视后，情绪一下升高却说不清原因时。</x:v>
      </x:c>
      <x:c r="F4" s="45" t="str">
        <x:v>参考：Curtiss等，2021，焦虑相关CBT综述；NICE CG159，CBT中的监测与个体化认知模型。</x:v>
      </x:c>
      <x:c r="G4" s="92" t="str">
        <x:v>是</x:v>
      </x:c>
    </x:row>
    <x:row r="5" ht="122" customHeight="1">
      <x:c r="A5" s="81" t="str">
        <x:v>把事实和解释分开</x:v>
      </x:c>
      <x:c r="B5" s="87" t="str">
        <x:v>CBT / 心理学方法</x:v>
      </x:c>
      <x:c r="C5" s="48" t="str">
        <x:v>## 方法是什么
焦虑状态下，大脑容易把解释写成事实。例如“对方没有回复”是事实，“对方讨厌我”是解释；“视频播放量下降”是事实，“我已经失去价值”是解释。这个方法训练你先辨认两者，减少在证据不足时把最坏推断当成定论。
## 怎么使用
在纸上分两栏：
- **摄像机能记录到的事实**：时间、文字、数字和实际行为。
- **我对事实的解释**：原因推测、他人想法和未来预测。
接着给解释加一句：“这是一个可能性，不是已经证实的结论。”再列出至少两个同样符合事实的其他解释。
## 社交媒体场景示例
事实：“朋友看了群消息，没有回复，但十分钟后转发了另一条通知。”解释：“他故意无视我。”其他可能包括：不知道如何回复、认为不需要单独回应、当时只处理了工作通知。
## 使用边界
分开事实与解释，不代表要求你否认真实的人际问题。若同一种行为长期、稳定且伴随明确证据，可以进一步沟通或设定边界。这个方法只用于避免在证据不足时过早定案。</x:v>
      </x:c>
      <x:c r="D5" s="48" t="str">
        <x:v>事实解释,认知检查,人际推断,证据不足</x:v>
      </x:c>
      <x:c r="E5" s="48" t="str">
        <x:v>看到已读不回、点赞减少或冷淡互动后，马上认定别人对自己有负面看法时。</x:v>
      </x:c>
      <x:c r="F5" s="48" t="str">
        <x:v>参考：Curtiss等，2021，认知重构与思维陷阱；Trent等，2024，焦虑CBT核心组成。</x:v>
      </x:c>
      <x:c r="G5" s="93" t="str">
        <x:v>否</x:v>
      </x:c>
    </x:row>
    <x:row r="6" ht="122" customHeight="1">
      <x:c r="A6" s="81" t="str">
        <x:v>自动想法捕捉：找到情绪前的一句话</x:v>
      </x:c>
      <x:c r="B6" s="87" t="str">
        <x:v>CBT / 心理学方法</x:v>
      </x:c>
      <x:c r="C6" s="48" t="str">
        <x:v>## 方法是什么
自动想法是情绪被触发时迅速出现、常常未经审查的短句或画面。很多人只注意到“我很焦虑”，却没有发现焦虑前可能闪过“我落后了”“他们在笑我”“这次数据差说明以后都完了”。捕捉它，是后续认知检查的起点。
## 怎么使用
当情绪明显上升时，暂停并问：
1. 刚才那一秒，我认为发生了什么？
2. 我最担心别人怎么看我？
3. 我预测接下来会发生什么？
4. 如果这个场景意味着一件关于“我”的事，那是什么？
尽量把答案写成一句具体、可验证的话，而不是“我不好”“很焦虑”这种宽泛总结。
## 社交媒体场景示例
刷到前同学升职后，表面情绪是烦躁。继续追问，可能捕捉到：“我们起点差不多，他成功说明我浪费了这些年。”真正需要检查的是这条推断，而不是“升职动态”本身。
## 使用边界
自动想法不等于你真实相信的全部价值观，也不需要因为它刻薄、嫉妒或夸张而羞耻。它只是大脑在压力下给出的快速解释。若追问引发强烈创伤记忆，先停止并寻求专业支持。</x:v>
      </x:c>
      <x:c r="D6" s="48" t="str">
        <x:v>自动想法,情绪触发,认知识别,快速推断</x:v>
      </x:c>
      <x:c r="E6" s="48" t="str">
        <x:v>只知道自己刷完后很难受，却找不到究竟是哪种想法在推动情绪时。</x:v>
      </x:c>
      <x:c r="F6" s="48" t="str">
        <x:v>参考：Curtiss等，2021；Hofmann等，2012，CBT认知干预与总体证据综述。</x:v>
      </x:c>
      <x:c r="G6" s="93" t="str">
        <x:v>否</x:v>
      </x:c>
    </x:row>
    <x:row r="7" ht="122" customHeight="1">
      <x:c r="A7" s="81" t="str">
        <x:v>支持证据与反对证据检查</x:v>
      </x:c>
      <x:c r="B7" s="87" t="str">
        <x:v>CBT / 心理学方法</x:v>
      </x:c>
      <x:c r="C7" s="48" t="str">
        <x:v>## 方法是什么
证据检查不是强迫自己积极，而是像调查员一样审查一个焦虑想法。它同时寻找支持和不支持该想法的材料，避免只收集符合最坏结论的信息。核心问题是：如果这是一项需要向别人证明的判断，我现在拥有多少可靠证据？
## 怎么使用
先把想法写得具体，例如“同学都认为我混得最差”。然后分别列出：
- **支持证据**：真实发生、可以观察的材料。
- **反对证据**：不符合该结论的事实、例外和未知信息。
- **证据质量**：它是事实、猜测、单个案例，还是由情绪推出来的？
- **暂时结论**：当前最准确的说法是什么？
## 社交媒体场景示例
支持证据：有三位同学发布了工作成果。反对证据：没有人评价我的工作；朋友圈只展示愿意公开的人；我也完成了未发布的任务。更平衡的结论可以是：“我看到几个人的成果后产生落差，但没有证据证明所有人都领先或都否定我。”
## 使用边界
证据检查不用于替他人的伤害行为找借口，也不是要求你证明一切都很好。若证据明确指向现实问题，下一步应是问题解决或边界设置，而不是继续改写想法。</x:v>
      </x:c>
      <x:c r="D7" s="48" t="str">
        <x:v>证据检查,认知重构,思维陷阱,平衡判断</x:v>
      </x:c>
      <x:c r="E7" s="48" t="str">
        <x:v>对“所有人都比我好”“大家都讨厌我”等绝对结论深信不疑时。</x:v>
      </x:c>
      <x:c r="F7" s="48" t="str">
        <x:v>参考：Curtiss等，2021，认知重构；Carpenter等，2018，焦虑相关CBT随机试验元分析。</x:v>
      </x:c>
      <x:c r="G7" s="93" t="str">
        <x:v>是</x:v>
      </x:c>
    </x:row>
    <x:row r="8" ht="122" customHeight="1">
      <x:c r="A8" s="81" t="str">
        <x:v>写出可相信的平衡替代想法</x:v>
      </x:c>
      <x:c r="B8" s="87" t="str">
        <x:v>CBT / 心理学方法</x:v>
      </x:c>
      <x:c r="C8" s="48" t="str">
        <x:v>## 方法是什么
平衡替代想法不是把“我很失败”硬改成“我最优秀”，而是写出同时容纳困难、未知和自身资源的更准确解释。只有本人能够部分相信的句子，才可能在焦虑时发挥作用。
## 怎么使用
替代想法可以包含四部分：
1. 承认事实：“这次互动确实比我期待的少。”
2. 指出未知：“我不知道每个人没有回应的原因。”
3. 修正扩大化：“一次反馈不能代表所有关系和长期价值。”
4. 提醒可行动部分：“我可以等到情绪下降后再决定是否沟通。”
写完后给新想法的可信度评分。如果只有10%，说明句子太空泛，需要改得更贴近现实。
## 社交媒体场景示例
原想法：“这条内容数据差，说明我已经没有创作能力。”平衡版本：“这次数据低让我失望，但一次分发受多个因素影响；我可以分析内容表现，而不是把它当成对全部能力的判决。”
## 使用边界
替代想法不能代替现实行动，也不需要把负面感受消除。它的目标是减少过度、绝对和无法验证的解释。若你长期处在明确的攻击、骚扰或剥削环境中，应优先处理安全与边界。</x:v>
      </x:c>
      <x:c r="D8" s="48" t="str">
        <x:v>替代想法,平衡思维,认知重构,现实检验</x:v>
      </x:c>
      <x:c r="E8" s="48" t="str">
        <x:v>知道原想法可能过度，却只会用“想开点”压住自己，无法形成可信的新解释时。</x:v>
      </x:c>
      <x:c r="F8" s="48" t="str">
        <x:v>参考：Curtiss等，2021；Trent等，2024，焦虑CBT中的认知重构。</x:v>
      </x:c>
      <x:c r="G8" s="93" t="str">
        <x:v>否</x:v>
      </x:c>
    </x:row>
    <x:row r="9" ht="122" customHeight="1">
      <x:c r="A9" s="81" t="str">
        <x:v>识别社交媒体中的常见认知偏差</x:v>
      </x:c>
      <x:c r="B9" s="87" t="str">
        <x:v>CBT / 心理学方法</x:v>
      </x:c>
      <x:c r="C9" s="48" t="str">
        <x:v>## 方法是什么
认知偏差标签帮助你识别思考方式，而不是给自己贴人格标签。社交媒体场景中常见的包括：读心术、灾难化、以偏概全、非黑即白、选择性注意、情绪推理和个人化。给模式命名，可以在想法与事实之间增加一点距离。
## 怎么使用
看到自动想法后，先问它更像哪种模式：
- “没人点赞就是大家讨厌我”——读心术、以偏概全。
- “今天流量低，以后账号一定完了”——灾难化。
- “别人自律，我拖延，所以我毫无意志力”——非黑即白。
- “看到十个成功者，感觉所有人都成功”——选择性注意。
- “我感到羞耻，所以我一定做了丢脸的事”——情绪推理。
命名后继续做证据检查，而不是停在“我又认知扭曲了”。
## 社交媒体场景示例
“朋友聚会没有叫我，说明我在所有关系里都不重要。”可以标记为以偏概全与个人化，再检查是否存在其他关系、其他原因和未掌握的信息。
## 使用边界
标签只是辅助语言，不是判定想法错误的证据。现实中的排斥、比较和不公平确实可能存在；认知工作应与事实核查并用。</x:v>
      </x:c>
      <x:c r="D9" s="48" t="str">
        <x:v>认知偏差,思维陷阱,读心术,灾难化</x:v>
      </x:c>
      <x:c r="E9" s="48" t="str">
        <x:v>想法反复出现但说不清它为什么总把事情推向最坏结论时。</x:v>
      </x:c>
      <x:c r="F9" s="48" t="str">
        <x:v>参考：Curtiss等，2021，thinking traps与认知重构；Hofmann等，2012。</x:v>
      </x:c>
      <x:c r="G9" s="93" t="str">
        <x:v>否</x:v>
      </x:c>
    </x:row>
    <x:row r="10" ht="122" customHeight="1">
      <x:c r="A10" s="81" t="str">
        <x:v>连续谱法：打破非黑即白评价</x:v>
      </x:c>
      <x:c r="B10" s="87" t="str">
        <x:v>CBT / 心理学方法</x:v>
      </x:c>
      <x:c r="C10" s="48" t="str">
        <x:v>## 方法是什么
非黑即白思维会把复杂表现压缩成两个极端：成功或失败、自律或堕落、受欢迎或被所有人厌恶。连续谱法把评价放回0—100的范围，并寻找中间位置与具体维度。
## 怎么使用
先写出两个极端，例如：
- 0分：完全没有能力的创作者。
- 100分：每条内容都成功、永远稳定输出的完美创作者。
再问：
1. 现实中真的有人长期处在100分吗？
2. 我目前在哪个区间？依据是什么？
3. 能力由哪些维度组成，例如选题、表达、剪辑、稳定性和学习速度？
4. 提高5分的具体表现是什么？
## 社交媒体场景示例
刷到别人连续打卡后，你把自己定义为“完全不自律”。拆开后可能发现：学习执行60分、睡眠管理35分、运动50分。结论从人格判决变成了可调整的具体领域。
## 使用边界
连续谱法不是要求你用数字精确衡量人格。数字只用于打破两个极端。若你开始反复比较分数或建立新的完美标准，应停止量化，改用具体行为描述。</x:v>
      </x:c>
      <x:c r="D10" s="48" t="str">
        <x:v>非黑即白,连续谱,自我评价,完美主义</x:v>
      </x:c>
      <x:c r="E10" s="48" t="str">
        <x:v>因为一次拖延、一次低数据或一次冷场，就把自己归为彻底失败的人时。</x:v>
      </x:c>
      <x:c r="F10" s="48" t="str">
        <x:v>参考：Curtiss等，2021，认知重构与偏差识别；Hofmann等，2012。</x:v>
      </x:c>
      <x:c r="G10" s="93" t="str">
        <x:v>否</x:v>
      </x:c>
    </x:row>
    <x:row r="11" ht="122" customHeight="1">
      <x:c r="A11" s="81" t="str">
        <x:v>去灾难化：同时估计概率与应对能力</x:v>
      </x:c>
      <x:c r="B11" s="87" t="str">
        <x:v>CBT / 心理学方法</x:v>
      </x:c>
      <x:c r="C11" s="48" t="str">
        <x:v>## 方法是什么
灾难化不仅高估坏结果发生的概率，还会低估自己应对结果的能力。去灾难化分两条线检查：“它有多可能发生？”以及“即使发生，我可以怎样处理？”
## 怎么使用
针对一个具体预测依次回答：
1. 我担心的最坏结果是什么？
2. 发生概率大约是多少？依据是什么？
3. 更可能出现的普通结果是什么？
4. 如果最坏结果发生，我有哪些资源、步骤和求助对象？
5. 一周、一个月后，这件事可能处于什么位置？
## 社交媒体场景示例
预测：“我发错一句话会被全网围攻，学校和工作都会毁掉。”先检查账号可见范围、内容性质和过往经验，再写出应对方案：删除或澄清、保存证据、限制评论、向平台申诉、向可信任的人求助。焦虑可能仍在，但事件不再被理解为完全无法承受。
## 使用边界
若确实遭遇网暴、隐私泄露、勒索或现实威胁，不要只做认知练习，应优先保存证据并寻求平台、学校、单位、法律或警方支持。</x:v>
      </x:c>
      <x:c r="D11" s="48" t="str">
        <x:v>去灾难化,概率估计,应对评估,最坏预测</x:v>
      </x:c>
      <x:c r="E11" s="48" t="str">
        <x:v>把一次发言、低流量或人际误会预测成不可挽回的人生灾难时。</x:v>
      </x:c>
      <x:c r="F11" s="48" t="str">
        <x:v>参考：Curtiss等，2021；Trent等，2024，焦虑CBT的认知与应对策略。</x:v>
      </x:c>
      <x:c r="G11" s="93" t="str">
        <x:v>否</x:v>
      </x:c>
    </x:row>
    <x:row r="12" ht="122" customHeight="1">
      <x:c r="A12" s="81" t="str">
        <x:v>替代解释法：减少读心和敌意归因</x:v>
      </x:c>
      <x:c r="B12" s="87" t="str">
        <x:v>CBT / 心理学方法</x:v>
      </x:c>
      <x:c r="C12" s="48" t="str">
        <x:v>## 方法是什么
当线上信息缺少语气、表情和背景时，人容易用最威胁性的解释填补空白。替代解释法要求列出多个能够解释同一事实的假设，再比较每个假设的证据，而不是直接采用最伤人的版本。
## 怎么使用
把原解释写在第一行，例如“他没有回复，因为觉得我烦”。然后至少列出三种替代：
- 当时忙，准备之后回复。
- 不知道怎样回应情绪内容。
- 认为消息不需要立即回答。
- 关系确实在疏远。
分别给每种解释写支持证据、反对证据和当前可信度。最后确定“目前能知道什么、还不知道什么”。
## 社交媒体场景示例
你发现好友给别人点赞却没回你的消息。替代解释并不是否认被忽视的可能，而是防止从一个行为直接推导出“对方从未在乎我”这种全面结论。
## 使用边界
如果对方长期反复回避、贬低或利用你，替代解释不应成为无限容忍的工具。认知开放与人际边界需要同时存在。
补充提醒：列替代解释时不必追求数量，重点是承认信息不完整，并让后续判断保持可修正。</x:v>
      </x:c>
      <x:c r="D12" s="48" t="str">
        <x:v>替代解释,读心术,敌意归因,人际不确定</x:v>
      </x:c>
      <x:c r="E12" s="48" t="str">
        <x:v>线上回应含糊或缺失时，脑中只剩“对方故意伤害我”这一种解释时。</x:v>
      </x:c>
      <x:c r="F12" s="48" t="str">
        <x:v>参考：Curtiss等，2021；NICE CG159，社会焦虑中的负面解释与行为实验。</x:v>
      </x:c>
      <x:c r="G12" s="93" t="str">
        <x:v>否</x:v>
      </x:c>
    </x:row>
    <x:row r="13" ht="122" customHeight="1">
      <x:c r="A13" s="81" t="str">
        <x:v>责任饼图：纠正过度个人化</x:v>
      </x:c>
      <x:c r="B13" s="87" t="str">
        <x:v>CBT / 心理学方法</x:v>
      </x:c>
      <x:c r="C13" s="48" t="str">
        <x:v>## 方法是什么
过度个人化会把复杂结果主要归因于自己，例如“群聊冷场都是因为我无聊”“作品数据低全是因为我没能力”。责任饼图把可能因素列出并分配比例，提醒你结果通常由多个条件共同形成。
## 怎么使用
先写结果，例如“这条内容互动少”。列出所有可能因素：
- 发布时间与在线人数
- 平台分发和受众匹配
- 内容主题与表达
- 账号规模
- 观众当时的精力
- 自己可以改进的部分
再给各因素粗略分配比例，总和为100%。最后单独圈出“我能够影响但不等于由我负责全部”的部分。
## 社交媒体场景示例
班级群邀约无人回应。责任饼图中可能包含时间不合适、责任扩散、大家不熟、消息被覆盖和表达不够清晰。你的表达只占其中一部分，不需要把整个结果变成人格结论。
## 使用边界
比例不需要准确，也不能用来逃避自己明确的责任。它的作用是纠正“全是我的错”，不是改成“完全与我无关”。
补充提醒：若多个因素无法估算，可以只写“主要、次要、未知”，不需要制造看似精确的百分比。</x:v>
      </x:c>
      <x:c r="D13" s="48" t="str">
        <x:v>个人化,责任饼图,归因方式,多因素</x:v>
      </x:c>
      <x:c r="E13" s="48" t="str">
        <x:v>把群聊冷场、关系变化或内容表现不佳全部归咎于自己时。</x:v>
      </x:c>
      <x:c r="F13" s="48" t="str">
        <x:v>参考：Curtiss等，2021，认知重构原则；Hofmann等，2012，CBT证据综述。</x:v>
      </x:c>
      <x:c r="G13" s="93" t="str">
        <x:v>否</x:v>
      </x:c>
    </x:row>
    <x:row r="14" ht="122" customHeight="1">
      <x:c r="A14" s="81" t="str">
        <x:v>向下箭头：找到反复比较背后的核心担忧</x:v>
      </x:c>
      <x:c r="B14" s="87" t="str">
        <x:v>CBT / 心理学方法</x:v>
      </x:c>
      <x:c r="C14" s="48" t="str">
        <x:v>## 方法是什么
有些社交媒体触发会反复出现，是因为表面想法连接着更深的条件性规则或核心评价。向下箭头通过连续追问“如果这是真的，对我意味着什么”，找到真正让情绪升级的担忧。
## 怎么使用
从具体想法开始，每次只追问一次：
- “别人升职了，我还没有。”
- 如果这是真的，对我意味着什么？——“我落后了。”
- 落后意味着什么？——“我没有能力。”
- 没有能力最让我怕什么？——“别人会失望，我也不值得被尊重。”
找到较深层评价后，再检查它是否绝对、从何形成、是否把单一表现等同于整体价值。
## 社交媒体场景示例
你以为自己只是嫉妒别人的旅行，追问后却发现核心担忧是：“只有过得精彩，才证明我的人生值得被看见。”真正需要处理的是价值条件，而不是某一张旅行照。
## 使用边界
这项方法可能触及羞耻、童年经历或长期负面信念，不适合在情绪极度激动时持续深挖。若出现强烈痛苦、解离或创伤反应，应停止自助并在专业支持下进行。</x:v>
      </x:c>
      <x:c r="D14" s="48" t="str">
        <x:v>向下箭头,核心信念,条件规则,深层担忧</x:v>
      </x:c>
      <x:c r="E14" s="48" t="str">
        <x:v>不同平台和内容总能触发相似的自卑，却不知道这些反应共同指向什么时。</x:v>
      </x:c>
      <x:c r="F14" s="48" t="str">
        <x:v>参考：Curtiss等，2021，焦虑CBT认知干预；NICE CG159，个体化认知模型。</x:v>
      </x:c>
      <x:c r="G14" s="93" t="str">
        <x:v>否</x:v>
      </x:c>
    </x:row>
    <x:row r="15" ht="122" customHeight="1">
      <x:c r="A15" s="81" t="str">
        <x:v>行为实验：用小测试检验焦虑预测</x:v>
      </x:c>
      <x:c r="B15" s="87" t="str">
        <x:v>CBT / 心理学方法</x:v>
      </x:c>
      <x:c r="C15" s="48" t="str">
        <x:v>## 方法是什么
行为实验不是逼自己“勇敢一次”，而是把焦虑预测变成可以观察的小型测试。它通常比单纯争论想法更有说服力，因为结果来自亲身经验。实验重点是学习，而不是证明自己一定没事。
## 怎么使用
1. 写出预测：“如果我发一条不完美的动态，至少一半的人会觉得我很丢脸。”
2. 设计低风险测试：选择普通内容、限定可见范围或从较轻场景开始。
3. 预先确定观察指标：实际负面回应数、自己的焦虑变化、是否出现预想后果。
4. 完成后比较预测与结果，并记录学到什么。
5. 若结果不理想，也分析它是否真的等于原来的灾难结论。
## 社交媒体场景示例
预测“发言稍有停顿就会被群友嘲笑”，实验可以是在熟悉的小群中发一段不反复润色的普通观点，并观察真实回应，而不是直接在高风险公共议题下测试。
## 使用边界
不要用行为实验测试泄露隐私、挑衅网暴、医疗风险或现实安全。社交焦虑严重、存在创伤或强烈惊恐时，实验应与专业人员共同设计。</x:v>
      </x:c>
      <x:c r="D15" s="48" t="str">
        <x:v>行为实验,预测检验,经验学习,低风险测试</x:v>
      </x:c>
      <x:c r="E15" s="48" t="str">
        <x:v>理智上知道预测可能过度，但仅靠劝自己仍无法相信时。</x:v>
      </x:c>
      <x:c r="F15" s="48" t="str">
        <x:v>参考：Clément等，2019，行为实验研究；McManus等，2009，社会焦虑认知治疗成分实验。</x:v>
      </x:c>
      <x:c r="G15" s="93" t="str">
        <x:v>是</x:v>
      </x:c>
    </x:row>
    <x:row r="16" ht="122" customHeight="1">
      <x:c r="A16" s="81" t="str">
        <x:v>分级暴露：逐步面对发布与互动焦虑</x:v>
      </x:c>
      <x:c r="B16" s="87" t="str">
        <x:v>CBT / 心理学方法</x:v>
      </x:c>
      <x:c r="C16" s="48" t="str">
        <x:v>## 方法是什么
分级暴露是按照难度阶梯，逐步接触被焦虑回避的情境，并停留到能够获得新经验。对社交媒体而言，目标不是增加使用时长，而是减少“因为害怕评价而完全不敢正常表达”的回避。
## 怎么使用
先列出场景并评0—100难度，例如：
- 给熟悉朋友点赞：20
- 在小群发普通消息：35
- 发布仅好友可见的日常：50
- 在公开区表达温和观点：75
从中等偏低难度开始，重复练习，观察真实结果和焦虑变化，再逐步上移。暴露时尽量不使用过多安全行为，例如反复删改、请所有人提前保证会支持。
## 社交媒体场景示例
害怕发动态的人，不需要直接公开长文。可以先发一条低敏感、有限可见的普通内容，允许它保留一段时间，再记录预期与实际反馈。
## 使用边界
暴露不是硬扛，也不适用于现实中确有骚扰、隐私或职业风险的情境。若涉及创伤、惊恐、自伤风险或严重功能受损，应由专业人员评估和设计。
补充提醒：每一级都应允许重复和退回；焦虑暂时升高不代表练习失败，但持续失控时应停止并求助。</x:v>
      </x:c>
      <x:c r="D16" s="48" t="str">
        <x:v>分级暴露,回避行为,评价焦虑,难度阶梯</x:v>
      </x:c>
      <x:c r="E16" s="48" t="str">
        <x:v>因为害怕被评价，已经无法进行必要的群聊、表达或正常发布时。</x:v>
      </x:c>
      <x:c r="F16" s="48" t="str">
        <x:v>参考：Ougrin，2011，暴露与认知治疗元分析；NICE CG159，社会焦虑个体CBT。</x:v>
      </x:c>
      <x:c r="G16" s="93" t="str">
        <x:v>否</x:v>
      </x:c>
    </x:row>
    <x:row r="17" ht="122" customHeight="1">
      <x:c r="A17" s="81" t="str">
        <x:v>减少安全行为：不再靠反复润色获得安全感</x:v>
      </x:c>
      <x:c r="B17" s="87" t="str">
        <x:v>CBT / 心理学方法</x:v>
      </x:c>
      <x:c r="C17" s="48" t="str">
        <x:v>## 方法是什么
安全行为是为了防止被否定而采取的保护动作，例如一条消息修改二十遍、发布后立即删除、只说绝对不会出错的话、不断请朋友确认。它们短期降低焦虑，却可能让人无法知道：“即使不做这些，我也许仍能应对。”
## 怎么使用
先列出自己常用的安全行为，并区分必要保护与过度保护。一次只减少一个，例如：
- 将修改次数从十次降到三次。
- 不再要求朋友发布前逐句审阅。
- 发出普通消息后允许自己暂时离开对话框。
- 不用自嘲提前否定自己来阻止别人评价。
完成后记录预测、真实反馈和焦虑变化。
## 社交媒体场景示例
你担心群友觉得自己无聊，于是每句话后都加“哈哈我乱说的”。实验可以是在低风险群聊中发一次直接、普通的观点，不用自我贬低收尾。
## 使用边界
隐私设置、屏蔽骚扰和事实核查不是需要消除的安全行为。只减少那些主要用于缓解焦虑、却长期限制正常表达的动作。严重社交焦虑应在专业支持下练习。</x:v>
      </x:c>
      <x:c r="D17" s="48" t="str">
        <x:v>安全行为,反复润色,自我保护,社交焦虑</x:v>
      </x:c>
      <x:c r="E17" s="48" t="str">
        <x:v>发消息或动态前必须不断修改、求确认或自我贬低，否则无法发送时。</x:v>
      </x:c>
      <x:c r="F17" s="48" t="str">
        <x:v>参考：McManus等，2008；Taylor与Alden，2010；Schreiber等，2015。</x:v>
      </x:c>
      <x:c r="G17" s="93" t="str">
        <x:v>否</x:v>
      </x:c>
    </x:row>
    <x:row r="18" ht="122" customHeight="1">
      <x:c r="A18" s="81" t="str">
        <x:v>延迟检查：打断反复刷新反馈的循环</x:v>
      </x:c>
      <x:c r="B18" s="87" t="str">
        <x:v>CBT / 心理学方法</x:v>
      </x:c>
      <x:c r="C18" s="48" t="str">
        <x:v>## 方法是什么
反复刷新点赞、评论、在线状态和数据后台，常由“不检查就无法确定是否安全”的冲动推动。延迟检查不是永久禁止查看，而是在冲动与动作之间加入可控间隔，观察焦虑是否能够在不立即确认的情况下自然变化。
## 怎么使用
1. 记录平时发布后多久检查一次。
2. 设定略长但可完成的间隔，例如从每2分钟改为10分钟。
3. 冲动出现时记录强度，不立刻争辩，也不马上打开。
4. 到约定时间再查看一次，而不是连续刷新。
5. 稳定后逐步延长间隔，或减少每日固定检查次数。
## 社交媒体场景示例
发布内容后，你预测“十分钟不看就会错过重要评论”。练习时把手机放在视线外，记录焦虑从80变化到多少，再在约定时间统一查看。
## 使用边界
工作值班、紧急联络和需要及时处理的客服任务不适合机械延迟。若检查行为已经占用大量时间、影响睡眠或具有明显强迫性质，应寻求专业评估。
补充提醒：练习应从可承受的短间隔开始；目标是增加选择空间，而不是用另一套严格规则惩罚自己。</x:v>
      </x:c>
      <x:c r="D18" s="48" t="str">
        <x:v>延迟检查,反复刷新,反馈依赖,行为循环</x:v>
      </x:c>
      <x:c r="E18" s="48" t="str">
        <x:v>发布后不断刷新点赞、评论、在线状态或后台数据，明知疲惫却停不下来时。</x:v>
      </x:c>
      <x:c r="F18" s="48" t="str">
        <x:v>参考：Curtiss等，2021，焦虑CBT中的行为实验与暴露原则；NICE CG159。</x:v>
      </x:c>
      <x:c r="G18" s="93" t="str">
        <x:v>否</x:v>
      </x:c>
    </x:row>
    <x:row r="19" ht="122" customHeight="1">
      <x:c r="A19" s="81" t="str">
        <x:v>外部注意训练：把注意从自我监控移回交流</x:v>
      </x:c>
      <x:c r="B19" s="87" t="str">
        <x:v>CBT / 心理学方法</x:v>
      </x:c>
      <x:c r="C19" s="48" t="str">
        <x:v>## 方法是什么
评价焦虑时，人可能把大量注意放在“我看起来怎样、这句话会不会很蠢、别人是否发现我紧张”，导致交流信息反而进入不了大脑。外部注意训练把注意重新放回对方内容、任务和环境线索。
## 怎么使用
在线交流前设定一个外部任务：
- 找出对方表达的两个核心观点。
- 注意聊天中实际出现的语气与信息，而不是想象中的评价。
- 回应内容本身，而不是不断检查自己的措辞形象。
- 交流后列出三个真实观察，不写推测。
还可以在低风险对话中比较“高度自我监控”和“关注交流内容”两种状态的体验差异。
## 社交媒体场景示例
参加线上会议时，你一直盯着自己的摄像头画面。练习可以隐藏自我预览，把注意放到发言者的论点，并在会后记录自己实际记住了什么。
## 使用边界
注意训练不是忽略真实危险或他人的明确攻击。它主要适用于因过度自我聚焦而加重的评价焦虑。注意偏向矫正的独立疗效证据有限，不应宣传为通用治疗。</x:v>
      </x:c>
      <x:c r="D19" s="48" t="str">
        <x:v>外部注意,自我聚焦,评价焦虑,注意训练</x:v>
      </x:c>
      <x:c r="E19" s="48" t="str">
        <x:v>线上开会、群聊或发言时，全部注意都放在自己表现是否难看上时。</x:v>
      </x:c>
      <x:c r="F19" s="48" t="str">
        <x:v>参考：McManus等，2009；Furukawa等，2009；Heeren等，2015注意偏向矫正元分析。</x:v>
      </x:c>
      <x:c r="G19" s="93" t="str">
        <x:v>否</x:v>
      </x:c>
    </x:row>
    <x:row r="20" ht="122" customHeight="1">
      <x:c r="A20" s="81" t="str">
        <x:v>视频或录音反馈：校准过度负面的自我印象</x:v>
      </x:c>
      <x:c r="B20" s="87" t="str">
        <x:v>CBT / 心理学方法</x:v>
      </x:c>
      <x:c r="C20" s="48" t="str">
        <x:v>## 方法是什么
评价焦虑会让人凭内部感受判断外在表现：心跳很快，就觉得所有人都看出自己失控；说话卡顿一下，就记成“整段表现都很糟”。视频或录音反馈用于比较预测、主观感受和真实记录。
## 怎么使用
在低风险场景中完成一段短发言或语音，事前写下具体预测，例如“我会停顿超过十次、声音明显发抖”。观看或收听前，先尝试以中性观察者角度记录可见事实，再与预测比较。
观察时只描述：
- 实际停顿次数
- 声音是否能听清
- 内容是否表达完整
- 他人是否出现明确负面反应
避免反复放大外貌细节或无限回看。
## 社交媒体场景示例
你认为自己的线上发言“紧张得无法看”。回看后可能发现有两次停顿，但内容完整、语速基本正常。新的结论不是“我完美”，而是“内部紧张感比外部表现更强”。
## 使用边界
身体意象困扰、外貌强迫检查或创伤相关问题可能因录像加重，不宜自行反复观看。最好限定次数，严重焦虑时由专业人员引导。</x:v>
      </x:c>
      <x:c r="D20" s="48" t="str">
        <x:v>视频反馈,自我印象,现实校准,线上发言</x:v>
      </x:c>
      <x:c r="E20" s="48" t="str">
        <x:v>总觉得自己在视频、语音或直播中表现得极其糟糕，却主要依据内部感觉判断时。</x:v>
      </x:c>
      <x:c r="F20" s="48" t="str">
        <x:v>参考：McManus等，2009；Furukawa等，2009，视频反馈与社会焦虑实验。</x:v>
      </x:c>
      <x:c r="G20" s="93" t="str">
        <x:v>否</x:v>
      </x:c>
    </x:row>
    <x:row r="21" ht="122" customHeight="1">
      <x:c r="A21" s="81" t="str">
        <x:v>行为激活：从刷屏后的回避中重新行动</x:v>
      </x:c>
      <x:c r="B21" s="87" t="str">
        <x:v>CBT / 心理学方法</x:v>
      </x:c>
      <x:c r="C21" s="48" t="str">
        <x:v>## 方法是什么
被比较内容打击后，有些人会停止学习、运动、社交和基本照顾，转而继续刷屏或躺着回避。行为激活不是等待心情好了再做事，而是安排小而具体、与生活价值相关的活动，让行动重新带来环境反馈。
## 怎么使用
先记录一天中的活动与情绪，找出“刷屏—低落—回避—更低落”的循环。随后分别安排：
- **必要活动**：洗澡、吃饭、完成一个最小任务。
- **愉悦活动**：散步、音乐、线下兴趣。
- **掌控活动**：整理桌面、回复一封邮件、学习15分钟。
任务要小到当下能开始，完成后记录情绪和掌控感，而不是只看是否“效率很高”。
## 社交媒体场景示例
看到同龄人成就后，你放弃原定学习并继续刷两小时。行为激活可以是先离开床铺、完成十分钟复习，再决定下一步，而不是制定极端逆袭计划。
## 使用边界
行为激活对抑郁的证据更充分，对焦虑也可能有帮助，但不能替代对严重抑郁、自伤风险或功能明显受损的专业治疗。</x:v>
      </x:c>
      <x:c r="D21" s="48" t="str">
        <x:v>行为激活,回避循环,活动安排,低落</x:v>
      </x:c>
      <x:c r="E21" s="48" t="str">
        <x:v>刷完比较内容后陷入低落和瘫痪，越不行动越觉得自己失败时。</x:v>
      </x:c>
      <x:c r="F21" s="48" t="str">
        <x:v>参考：Stein等，2021，行为激活对抑郁、焦虑及活动水平的元分析。</x:v>
      </x:c>
      <x:c r="G21" s="93" t="str">
        <x:v>否</x:v>
      </x:c>
    </x:row>
    <x:row r="22" ht="122" customHeight="1">
      <x:c r="A22" s="81" t="str">
        <x:v>结构化问题解决：区分能处理的问题与情绪噪声</x:v>
      </x:c>
      <x:c r="B22" s="87" t="str">
        <x:v>CBT / 心理学方法</x:v>
      </x:c>
      <x:c r="C22" s="48" t="str">
        <x:v>## 方法是什么
结构化问题解决适用于现实中确实存在、可以采取行动的问题，例如账号被骚扰、合作边界不清、社交媒体占用学习时间。它避免把所有困扰都当成“想法问题”，也避免在焦虑中同时解决十件事。
## 怎么使用
1. 用一句话定义问题，避免写成“我的人生很失败”。
2. 区分可控制、可影响和暂时不可控制的部分。
3. 不评判地列出多个方案。
4. 比较成本、风险和可行性。
5. 选择一个最小步骤，规定时间。
6. 执行后复盘结果，再调整方案。
## 社交媒体场景示例
问题不是“我自控力太差”，而是“睡前一小时反复打开短视频，导致入睡推迟”。可选方案包括调整充电位置、使用系统限制、替换睡前活动或请同住者协助。具体设置属于行动建议，问题解决法负责选择和评估。
## 使用边界
无法控制的事情不适合无限制定方案，例如要求所有人喜欢自己。涉及网暴、诈骗、隐私泄漏或现实威胁时，应优先使用平台、法律和安全资源。</x:v>
      </x:c>
      <x:c r="D22" s="48" t="str">
        <x:v>问题解决,可控范围,方案评估,现实行动</x:v>
      </x:c>
      <x:c r="E22" s="48" t="str">
        <x:v>困扰中既有真实可处理问题，也有大量反复担忧，导致不知道先做什么时。</x:v>
      </x:c>
      <x:c r="F22" s="48" t="str">
        <x:v>参考：Zhang等，2018，问题解决治疗系统综述与元分析；Curtiss等，2021。</x:v>
      </x:c>
      <x:c r="G22" s="93" t="str">
        <x:v>否</x:v>
      </x:c>
    </x:row>
    <x:row r="23" ht="122" customHeight="1">
      <x:c r="A23" s="82" t="str">
        <x:v>复发预防：为再次被触发提前写计划</x:v>
      </x:c>
      <x:c r="B23" s="88" t="str">
        <x:v>CBT / 心理学方法</x:v>
      </x:c>
      <x:c r="C23" s="51" t="str">
        <x:v>## 方法是什么
情绪改善不等于以后再也不会被触发。复发预防把波动视为可以预期的过程：识别早期信号、总结有效方法、规定何时升级求助。它能减少“我又焦虑了，所以之前所有努力都白费”的二次打击。
## 怎么使用
建立一页维持计划：
- **高风险情境**：考试季、失眠、关系冲突、发布重要内容后。
- **早期信号**：刷新次数增加、睡前刷屏、开始搜索比较对象。
- **已验证有效的方法**：四步记录、证据检查、延迟检查、线下活动。
- **需要避免的旧循环**：通宵搜索、冲动删号、与陌生人持续争辩。
- **升级标准**：连续多久影响睡眠或功能时联系谁、寻求何种帮助。
## 社交媒体场景示例
你已经减少数据检查，但重要作品发布时又开始频繁刷新。计划提醒你：先按固定时间查看，若两天内严重失眠或无法工作，就联系可信任的人或专业支持，而不是解释成彻底失败。
## 使用边界
维持计划不是保证不会复发，也不能替代危机处理。若出现自伤想法、明显危险或无法维持基本生活，应立即寻求当地紧急和专业帮助。</x:v>
      </x:c>
      <x:c r="D23" s="51" t="str">
        <x:v>复发预防,预警信号,维持计划,求助标准</x:v>
      </x:c>
      <x:c r="E23" s="51" t="str">
        <x:v>状态好转后担心以后再次被社交媒体触发，或一次反复就觉得全部失败时。</x:v>
      </x:c>
      <x:c r="F23" s="51" t="str">
        <x:v>参考：Levy等，2021，焦虑CBT复发率元分析；Lorimer等，2021，复发预测因素综述。</x:v>
      </x:c>
      <x:c r="G23" s="94" t="str">
        <x:v>是</x:v>
      </x:c>
    </x:row>
  </x:sheetData>
  <x:mergeCells>
    <x:mergeCell ref="A1:G1"/>
    <x:mergeCell ref="A2:G2"/>
  </x:mergeCells>
  <x:conditionalFormatting sqref="G4:G23">
    <x:cfRule type="expression" dxfId="0" priority="1">
      <x:formula>G4="是"</x:formula>
    </x:cfRule>
  </x:conditionalFormatting>
  <x:dataValidations count="2">
    <x:dataValidation type="list" sqref="B4:B23">
      <x:formula1>"CBT / 心理学方法"</x:formula1>
    </x:dataValidation>
    <x:dataValidation type="list" sqref="G4:G2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4f399d021745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10" hidden="0" customWidth="1"/>
    <x:col min="4" max="4" width="48" hidden="0" customWidth="1"/>
    <x:col min="5" max="5" width="54" hidden="0" customWidth="1"/>
  </x:cols>
  <x:sheetData>
    <x:row r="1" ht="32" customHeight="1">
      <x:c r="A1" s="5" t="str">
        <x:v>CBT / 心理学方法｜方法地图</x:v>
      </x:c>
      <x:c r="B1" s="5"/>
      <x:c r="C1" s="5"/>
      <x:c r="D1" s="5"/>
      <x:c r="E1" s="5"/>
    </x:row>
    <x:row r="2">
      <x:c r="A2" s="13" t="str">
        <x:v>本分类提供低风险、结构化的心理学工具，不进行诊断，也不把知识库内容包装成正式心理治疗。</x:v>
      </x:c>
      <x:c r="B2" s="13"/>
      <x:c r="C2" s="13"/>
      <x:c r="D2" s="13"/>
      <x:c r="E2" s="13"/>
    </x:row>
    <x:row r="4">
      <x:c r="A4" s="21" t="str">
        <x:v>方法组</x:v>
      </x:c>
      <x:c r="B4" s="21" t="str">
        <x:v>包含条目</x:v>
      </x:c>
      <x:c r="C4" s="21" t="str">
        <x:v>数量</x:v>
      </x:c>
      <x:c r="D4" s="21" t="str">
        <x:v>主要目标</x:v>
      </x:c>
      <x:c r="E4" s="21" t="str">
        <x:v>风险与边界</x:v>
      </x:c>
    </x:row>
    <x:row r="5" ht="68" customHeight="1">
      <x:c r="A5" s="151" t="str">
        <x:v>监测与识别</x:v>
      </x:c>
      <x:c r="B5" s="117" t="str">
        <x:v>四步记录、事实与解释、自动想法</x:v>
      </x:c>
      <x:c r="C5" s="157" t="n">
        <x:v>3</x:v>
      </x:c>
      <x:c r="D5" s="117" t="str">
        <x:v>把模糊焦虑拆成可观察环节</x:v>
      </x:c>
      <x:c r="E5" s="118" t="str">
        <x:v>避免记录变成反复审讯或强迫检查</x:v>
      </x:c>
    </x:row>
    <x:row r="6" ht="68" customHeight="1">
      <x:c r="A6" s="152" t="str">
        <x:v>认知重构</x:v>
      </x:c>
      <x:c r="B6" s="120" t="str">
        <x:v>证据检查、平衡想法、认知偏差、连续谱、去灾难化、替代解释、责任饼图、向下箭头</x:v>
      </x:c>
      <x:c r="C6" s="158" t="n">
        <x:v>8</x:v>
      </x:c>
      <x:c r="D6" s="120" t="str">
        <x:v>修正过度、绝对和证据不足的解释</x:v>
      </x:c>
      <x:c r="E6" s="121" t="str">
        <x:v>不否认现实伤害；深层信念探索需注意情绪承受度</x:v>
      </x:c>
    </x:row>
    <x:row r="7" ht="68" customHeight="1">
      <x:c r="A7" s="152" t="str">
        <x:v>行为与体验学习</x:v>
      </x:c>
      <x:c r="B7" s="120" t="str">
        <x:v>行为实验、分级暴露、减少安全行为、延迟检查</x:v>
      </x:c>
      <x:c r="C7" s="158" t="n">
        <x:v>4</x:v>
      </x:c>
      <x:c r="D7" s="120" t="str">
        <x:v>通过真实经验检验预测并减少回避</x:v>
      </x:c>
      <x:c r="E7" s="121" t="str">
        <x:v>不得测试隐私、网暴和现实安全；严重焦虑需专业设计</x:v>
      </x:c>
    </x:row>
    <x:row r="8" ht="68" customHeight="1">
      <x:c r="A8" s="152" t="str">
        <x:v>注意与反馈</x:v>
      </x:c>
      <x:c r="B8" s="120" t="str">
        <x:v>外部注意训练、视频或录音反馈</x:v>
      </x:c>
      <x:c r="C8" s="158" t="n">
        <x:v>2</x:v>
      </x:c>
      <x:c r="D8" s="120" t="str">
        <x:v>校准自我聚焦和过度负面的表现判断</x:v>
      </x:c>
      <x:c r="E8" s="121" t="str">
        <x:v>外貌强迫检查或创伤反应者谨慎使用录像</x:v>
      </x:c>
    </x:row>
    <x:row r="9" ht="68" customHeight="1">
      <x:c r="A9" s="153" t="str">
        <x:v>功能恢复与维持</x:v>
      </x:c>
      <x:c r="B9" s="123" t="str">
        <x:v>行为激活、结构化问题解决、复发预防</x:v>
      </x:c>
      <x:c r="C9" s="159" t="n">
        <x:v>3</x:v>
      </x:c>
      <x:c r="D9" s="123" t="str">
        <x:v>恢复行动、处理现实问题并准备再次触发</x:v>
      </x:c>
      <x:c r="E9" s="124" t="str">
        <x:v>严重抑郁、自伤风险或功能受损需专业支持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7" hidden="0" customWidth="1"/>
    <x:col min="3" max="3" width="63" hidden="0" customWidth="1"/>
    <x:col min="4" max="4" width="38" hidden="0" customWidth="1"/>
    <x:col min="5" max="5" width="27" hidden="0" customWidth="1"/>
    <x:col min="6" max="6" width="42" hidden="0" customWidth="1"/>
    <x:col min="7" max="7" width="55" hidden="0" customWidth="1"/>
  </x:cols>
  <x:sheetData>
    <x:row r="1" ht="32" customHeight="1">
      <x:c r="A1" s="5" t="str">
        <x:v>来源索引｜CBT、行为方法与自助边界</x:v>
      </x:c>
      <x:c r="B1" s="5"/>
      <x:c r="C1" s="5"/>
      <x:c r="D1" s="5"/>
      <x:c r="E1" s="5"/>
      <x:c r="F1" s="5"/>
      <x:c r="G1" s="5"/>
    </x:row>
    <x:row r="2">
      <x:c r="A2" s="13" t="str">
        <x:v>source_note 使用简写；本页保留完整题名、证据类型和稳定链接。研究对象主要为临床焦虑或抑郁，不能直接等同于所有社交媒体困扰。</x:v>
      </x:c>
      <x:c r="B2" s="13"/>
      <x:c r="C2" s="13"/>
      <x:c r="D2" s="13"/>
      <x:c r="E2" s="13"/>
      <x:c r="F2" s="13"/>
      <x:c r="G2" s="13"/>
    </x:row>
    <x:row r="3">
      <x:c r="A3" s="21" t="str">
        <x:v>编号</x:v>
      </x:c>
      <x:c r="B3" s="21" t="str">
        <x:v>作者 / 年份</x:v>
      </x:c>
      <x:c r="C3" s="21" t="str">
        <x:v>完整题名</x:v>
      </x:c>
      <x:c r="D3" s="21" t="str">
        <x:v>期刊 / 来源</x:v>
      </x:c>
      <x:c r="E3" s="21" t="str">
        <x:v>证据类型</x:v>
      </x:c>
      <x:c r="F3" s="21" t="str">
        <x:v>主要支持主题</x:v>
      </x:c>
      <x:c r="G3" s="21" t="str">
        <x:v>DOI / 稳定链接</x:v>
      </x:c>
    </x:row>
    <x:row r="4" ht="58" customHeight="1">
      <x:c r="A4" s="163" t="n">
        <x:v>1</x:v>
      </x:c>
      <x:c r="B4" s="45" t="str">
        <x:v>NICE，2013（2024复核）</x:v>
      </x:c>
      <x:c r="C4" s="45" t="str">
        <x:v>Social anxiety disorder: recognition, assessment and treatment (CG159)</x:v>
      </x:c>
      <x:c r="D4" s="45" t="str">
        <x:v>National Institute for Health and Care Excellence</x:v>
      </x:c>
      <x:c r="E4" s="45" t="str">
        <x:v>临床指南</x:v>
      </x:c>
      <x:c r="F4" s="45" t="str">
        <x:v>个体化CBT、认知重构、行为实验、暴露、安全行为、注意训练</x:v>
      </x:c>
      <x:c r="G4" s="46" t="str">
        <x:v>https://www.nice.org.uk/guidance/cg159/chapter/Recommendations</x:v>
      </x:c>
    </x:row>
    <x:row r="5" ht="58" customHeight="1">
      <x:c r="A5" s="164" t="n">
        <x:v>2</x:v>
      </x:c>
      <x:c r="B5" s="48" t="str">
        <x:v>Curtiss等，2021</x:v>
      </x:c>
      <x:c r="C5" s="48" t="str">
        <x:v>Cognitive-Behavioral Treatments for Anxiety and Stress-Related Disorders</x:v>
      </x:c>
      <x:c r="D5" s="48" t="str">
        <x:v>Focus</x:v>
      </x:c>
      <x:c r="E5" s="48" t="str">
        <x:v>同行评审综述</x:v>
      </x:c>
      <x:c r="F5" s="48" t="str">
        <x:v>认知重构、思维陷阱、行为实验、暴露和CBT基本框架</x:v>
      </x:c>
      <x:c r="G5" s="49" t="str">
        <x:v>https://pmc.ncbi.nlm.nih.gov/articles/PMC8475916/</x:v>
      </x:c>
    </x:row>
    <x:row r="6" ht="58" customHeight="1">
      <x:c r="A6" s="164" t="n">
        <x:v>3</x:v>
      </x:c>
      <x:c r="B6" s="48" t="str">
        <x:v>Carpenter等，2018</x:v>
      </x:c>
      <x:c r="C6" s="48" t="str">
        <x:v>Cognitive behavioral therapy for anxiety and related disorders: A meta-analysis of randomized placebo-controlled trials</x:v>
      </x:c>
      <x:c r="D6" s="48" t="str">
        <x:v>Depression and Anxiety</x:v>
      </x:c>
      <x:c r="E6" s="48" t="str">
        <x:v>随机对照试验元分析</x:v>
      </x:c>
      <x:c r="F6" s="48" t="str">
        <x:v>CBT对焦虑及相关障碍的总体证据</x:v>
      </x:c>
      <x:c r="G6" s="49" t="str">
        <x:v>https://pubmed.ncbi.nlm.nih.gov/29451967/</x:v>
      </x:c>
    </x:row>
    <x:row r="7" ht="58" customHeight="1">
      <x:c r="A7" s="164" t="n">
        <x:v>4</x:v>
      </x:c>
      <x:c r="B7" s="48" t="str">
        <x:v>Hofmann等，2012</x:v>
      </x:c>
      <x:c r="C7" s="48" t="str">
        <x:v>The Efficacy of Cognitive Behavioral Therapy: A Review of Meta-analyses</x:v>
      </x:c>
      <x:c r="D7" s="48" t="str">
        <x:v>Cognitive Therapy and Research</x:v>
      </x:c>
      <x:c r="E7" s="48" t="str">
        <x:v>元分析综述</x:v>
      </x:c>
      <x:c r="F7" s="48" t="str">
        <x:v>CBT总体证据及适用边界</x:v>
      </x:c>
      <x:c r="G7" s="49" t="str">
        <x:v>https://pmc.ncbi.nlm.nih.gov/articles/PMC3584580/</x:v>
      </x:c>
    </x:row>
    <x:row r="8" ht="58" customHeight="1">
      <x:c r="A8" s="164" t="n">
        <x:v>5</x:v>
      </x:c>
      <x:c r="B8" s="48" t="str">
        <x:v>Trent等，2024</x:v>
      </x:c>
      <x:c r="C8" s="48" t="str">
        <x:v>Cognitive Behavioral Therapy for Anxiety Disorders</x:v>
      </x:c>
      <x:c r="D8" s="48" t="str">
        <x:v>Psychiatric Clinics of North America</x:v>
      </x:c>
      <x:c r="E8" s="48" t="str">
        <x:v>同行评审综述</x:v>
      </x:c>
      <x:c r="F8" s="48" t="str">
        <x:v>心理教育、认知重构、暴露和复发预防等核心组成</x:v>
      </x:c>
      <x:c r="G8" s="49" t="str">
        <x:v>https://pubmed.ncbi.nlm.nih.gov/39505447/</x:v>
      </x:c>
    </x:row>
    <x:row r="9" ht="58" customHeight="1">
      <x:c r="A9" s="164" t="n">
        <x:v>6</x:v>
      </x:c>
      <x:c r="B9" s="48" t="str">
        <x:v>NICE，2023</x:v>
      </x:c>
      <x:c r="C9" s="48" t="str">
        <x:v>Digitally enabled therapies for adults with anxiety disorders (HTG676): The technology</x:v>
      </x:c>
      <x:c r="D9" s="48" t="str">
        <x:v>National Institute for Health and Care Excellence</x:v>
      </x:c>
      <x:c r="E9" s="48" t="str">
        <x:v>技术评估指南</x:v>
      </x:c>
      <x:c r="F9" s="48" t="str">
        <x:v>监测、注意训练、行为实验、视频反馈和数字化CBT模块</x:v>
      </x:c>
      <x:c r="G9" s="49" t="str">
        <x:v>https://www.nice.org.uk/guidance/htg676/chapter/2-The-technology</x:v>
      </x:c>
    </x:row>
    <x:row r="10" ht="58" customHeight="1">
      <x:c r="A10" s="164" t="n">
        <x:v>7</x:v>
      </x:c>
      <x:c r="B10" s="48" t="str">
        <x:v>McManus等，2009</x:v>
      </x:c>
      <x:c r="C10" s="48" t="str">
        <x:v>A demonstration of the efficacy of two of the components of cognitive therapy for social phobia</x:v>
      </x:c>
      <x:c r="D10" s="48" t="str">
        <x:v>Journal of Anxiety Disorders</x:v>
      </x:c>
      <x:c r="E10" s="48" t="str">
        <x:v>实验研究</x:v>
      </x:c>
      <x:c r="F10" s="48" t="str">
        <x:v>自我聚焦、安全行为实验和视频反馈</x:v>
      </x:c>
      <x:c r="G10" s="49" t="str">
        <x:v>https://pubmed.ncbi.nlm.nih.gov/19081225/</x:v>
      </x:c>
    </x:row>
    <x:row r="11" ht="58" customHeight="1">
      <x:c r="A11" s="164" t="n">
        <x:v>8</x:v>
      </x:c>
      <x:c r="B11" s="48" t="str">
        <x:v>Schreiber等，2015</x:v>
      </x:c>
      <x:c r="C11" s="48" t="str">
        <x:v>Cognitive therapy for social anxiety disorder: the impact of the self-focused attention and safety behaviours experiment on the course of treatment</x:v>
      </x:c>
      <x:c r="D11" s="48" t="str">
        <x:v>Behavioural and Cognitive Psychotherapy</x:v>
      </x:c>
      <x:c r="E11" s="48" t="str">
        <x:v>临床研究</x:v>
      </x:c>
      <x:c r="F11" s="48" t="str">
        <x:v>自我聚焦注意与安全行为实验</x:v>
      </x:c>
      <x:c r="G11" s="49" t="str">
        <x:v>https://pubmed.ncbi.nlm.nih.gov/23941781/</x:v>
      </x:c>
    </x:row>
    <x:row r="12" ht="58" customHeight="1">
      <x:c r="A12" s="164" t="n">
        <x:v>9</x:v>
      </x:c>
      <x:c r="B12" s="48" t="str">
        <x:v>Taylor与Alden，2010</x:v>
      </x:c>
      <x:c r="C12" s="48" t="str">
        <x:v>Safety behaviors and judgmental biases in social anxiety disorder</x:v>
      </x:c>
      <x:c r="D12" s="48" t="str">
        <x:v>Behaviour Research and Therapy</x:v>
      </x:c>
      <x:c r="E12" s="48" t="str">
        <x:v>实验研究</x:v>
      </x:c>
      <x:c r="F12" s="48" t="str">
        <x:v>安全行为、负面社会判断和维持机制</x:v>
      </x:c>
      <x:c r="G12" s="49" t="str">
        <x:v>https://pubmed.ncbi.nlm.nih.gov/19954772/</x:v>
      </x:c>
    </x:row>
    <x:row r="13" ht="58" customHeight="1">
      <x:c r="A13" s="164" t="n">
        <x:v>10</x:v>
      </x:c>
      <x:c r="B13" s="48" t="str">
        <x:v>McManus等，2008</x:v>
      </x:c>
      <x:c r="C13" s="48" t="str">
        <x:v>Why social anxiety persists: an experimental investigation of the role of safety behaviours as a maintaining factor</x:v>
      </x:c>
      <x:c r="D13" s="48" t="str">
        <x:v>Journal of Behavior Therapy and Experimental Psychiatry</x:v>
      </x:c>
      <x:c r="E13" s="48" t="str">
        <x:v>实验研究</x:v>
      </x:c>
      <x:c r="F13" s="48" t="str">
        <x:v>安全行为为何维持社交焦虑</x:v>
      </x:c>
      <x:c r="G13" s="49" t="str">
        <x:v>https://pubmed.ncbi.nlm.nih.gov/17433252/</x:v>
      </x:c>
    </x:row>
    <x:row r="14" ht="58" customHeight="1">
      <x:c r="A14" s="164" t="n">
        <x:v>11</x:v>
      </x:c>
      <x:c r="B14" s="48" t="str">
        <x:v>Furukawa等，2009</x:v>
      </x:c>
      <x:c r="C14" s="48" t="str">
        <x:v>Videotaped experiments to drop safety behaviors and self-focused attention for patients with social anxiety disorder</x:v>
      </x:c>
      <x:c r="D14" s="48" t="str">
        <x:v>Journal of Behavior Therapy and Experimental Psychiatry</x:v>
      </x:c>
      <x:c r="E14" s="48" t="str">
        <x:v>临床实验研究</x:v>
      </x:c>
      <x:c r="F14" s="48" t="str">
        <x:v>视频反馈、减少安全行为和外部注意</x:v>
      </x:c>
      <x:c r="G14" s="49" t="str">
        <x:v>https://pubmed.ncbi.nlm.nih.gov/18930452/</x:v>
      </x:c>
    </x:row>
    <x:row r="15" ht="58" customHeight="1">
      <x:c r="A15" s="164" t="n">
        <x:v>12</x:v>
      </x:c>
      <x:c r="B15" s="48" t="str">
        <x:v>Clément等，2019</x:v>
      </x:c>
      <x:c r="C15" s="48" t="str">
        <x:v>Efficacy of Behavioral Experiments in Cognitive Therapy for Social Anxiety Disorder</x:v>
      </x:c>
      <x:c r="D15" s="48" t="str">
        <x:v>Trials</x:v>
      </x:c>
      <x:c r="E15" s="48" t="str">
        <x:v>随机试验方案与方法研究</x:v>
      </x:c>
      <x:c r="F15" s="48" t="str">
        <x:v>行为实验的设计与临床作用</x:v>
      </x:c>
      <x:c r="G15" s="49" t="str">
        <x:v>https://link.springer.com/article/10.1186/s13063-019-3905-3</x:v>
      </x:c>
    </x:row>
    <x:row r="16" ht="58" customHeight="1">
      <x:c r="A16" s="164" t="n">
        <x:v>13</x:v>
      </x:c>
      <x:c r="B16" s="48" t="str">
        <x:v>Ougrin，2011</x:v>
      </x:c>
      <x:c r="C16" s="48" t="str">
        <x:v>Efficacy of exposure versus cognitive therapy in anxiety disorders: systematic review and meta-analysis</x:v>
      </x:c>
      <x:c r="D16" s="48" t="str">
        <x:v>BMC Psychiatry</x:v>
      </x:c>
      <x:c r="E16" s="48" t="str">
        <x:v>系统综述与元分析</x:v>
      </x:c>
      <x:c r="F16" s="48" t="str">
        <x:v>暴露与认知治疗在焦虑问题中的证据</x:v>
      </x:c>
      <x:c r="G16" s="49" t="str">
        <x:v>https://pmc.ncbi.nlm.nih.gov/articles/PMC3347982/</x:v>
      </x:c>
    </x:row>
    <x:row r="17" ht="58" customHeight="1">
      <x:c r="A17" s="164" t="n">
        <x:v>14</x:v>
      </x:c>
      <x:c r="B17" s="48" t="str">
        <x:v>Kampmann等，2016</x:v>
      </x:c>
      <x:c r="C17" s="48" t="str">
        <x:v>Meta-analysis of technology-assisted interventions for social anxiety disorder</x:v>
      </x:c>
      <x:c r="D17" s="48" t="str">
        <x:v>Journal of Anxiety Disorders</x:v>
      </x:c>
      <x:c r="E17" s="48" t="str">
        <x:v>系统综述与元分析</x:v>
      </x:c>
      <x:c r="F17" s="48" t="str">
        <x:v>互联网CBT、虚拟暴露和认知偏差矫正</x:v>
      </x:c>
      <x:c r="G17" s="49" t="str">
        <x:v>https://pubmed.ncbi.nlm.nih.gov/27376634/</x:v>
      </x:c>
    </x:row>
    <x:row r="18" ht="58" customHeight="1">
      <x:c r="A18" s="164" t="n">
        <x:v>15</x:v>
      </x:c>
      <x:c r="B18" s="48" t="str">
        <x:v>Heeren等，2015</x:v>
      </x:c>
      <x:c r="C18" s="48" t="str">
        <x:v>Attention bias modification for social anxiety: A systematic review and meta-analysis</x:v>
      </x:c>
      <x:c r="D18" s="48" t="str">
        <x:v>Clinical Psychology Review</x:v>
      </x:c>
      <x:c r="E18" s="48" t="str">
        <x:v>系统综述与元分析</x:v>
      </x:c>
      <x:c r="F18" s="48" t="str">
        <x:v>注意偏向矫正及其有限证据</x:v>
      </x:c>
      <x:c r="G18" s="49" t="str">
        <x:v>https://pubmed.ncbi.nlm.nih.gov/26080314/</x:v>
      </x:c>
    </x:row>
    <x:row r="19" ht="58" customHeight="1">
      <x:c r="A19" s="164" t="n">
        <x:v>16</x:v>
      </x:c>
      <x:c r="B19" s="48" t="str">
        <x:v>Stein等，2021</x:v>
      </x:c>
      <x:c r="C19" s="48" t="str">
        <x:v>A meta-analysis of the effect of behavioral activation on depression, anxiety and activation</x:v>
      </x:c>
      <x:c r="D19" s="48" t="str">
        <x:v>Psychological Medicine</x:v>
      </x:c>
      <x:c r="E19" s="48" t="str">
        <x:v>系统综述与元分析</x:v>
      </x:c>
      <x:c r="F19" s="48" t="str">
        <x:v>行为激活、活动安排及焦虑症状</x:v>
      </x:c>
      <x:c r="G19" s="49" t="str">
        <x:v>https://pubmed.ncbi.nlm.nih.gov/32138802/</x:v>
      </x:c>
    </x:row>
    <x:row r="20" ht="58" customHeight="1">
      <x:c r="A20" s="164" t="n">
        <x:v>17</x:v>
      </x:c>
      <x:c r="B20" s="48" t="str">
        <x:v>Zhang等，2018</x:v>
      </x:c>
      <x:c r="C20" s="48" t="str">
        <x:v>The Effectiveness of Problem-Solving Therapy for Primary Care Patients' Depressive and/or Anxiety Disorders</x:v>
      </x:c>
      <x:c r="D20" s="48" t="str">
        <x:v>Journal of the American Board of Family Medicine</x:v>
      </x:c>
      <x:c r="E20" s="48" t="str">
        <x:v>系统综述与元分析</x:v>
      </x:c>
      <x:c r="F20" s="48" t="str">
        <x:v>结构化问题解决法</x:v>
      </x:c>
      <x:c r="G20" s="49" t="str">
        <x:v>https://pubmed.ncbi.nlm.nih.gov/29330248/</x:v>
      </x:c>
    </x:row>
    <x:row r="21" ht="58" customHeight="1">
      <x:c r="A21" s="164" t="n">
        <x:v>18</x:v>
      </x:c>
      <x:c r="B21" s="48" t="str">
        <x:v>Levy等，2021</x:v>
      </x:c>
      <x:c r="C21" s="48" t="str">
        <x:v>A meta-analysis of relapse rates in cognitive-behavioral therapy for anxiety disorders</x:v>
      </x:c>
      <x:c r="D21" s="48" t="str">
        <x:v>Journal of Anxiety Disorders</x:v>
      </x:c>
      <x:c r="E21" s="48" t="str">
        <x:v>元分析</x:v>
      </x:c>
      <x:c r="F21" s="48" t="str">
        <x:v>复发概念、维持计划和复发预防的必要性</x:v>
      </x:c>
      <x:c r="G21" s="49" t="str">
        <x:v>https://pubmed.ncbi.nlm.nih.gov/33915506/</x:v>
      </x:c>
    </x:row>
    <x:row r="22" ht="58" customHeight="1">
      <x:c r="A22" s="164" t="n">
        <x:v>19</x:v>
      </x:c>
      <x:c r="B22" s="48" t="str">
        <x:v>Lorimer等，2021</x:v>
      </x:c>
      <x:c r="C22" s="48" t="str">
        <x:v>Predictors of relapse and recurrence following cognitive behavioural therapy for anxiety-related disorders</x:v>
      </x:c>
      <x:c r="D22" s="48" t="str">
        <x:v>Cognitive Behaviour Therapy</x:v>
      </x:c>
      <x:c r="E22" s="48" t="str">
        <x:v>系统综述</x:v>
      </x:c>
      <x:c r="F22" s="48" t="str">
        <x:v>预警信号、复发风险与维持阶段</x:v>
      </x:c>
      <x:c r="G22" s="49" t="str">
        <x:v>https://pubmed.ncbi.nlm.nih.gov/32954958/</x:v>
      </x:c>
    </x:row>
    <x:row r="23" ht="58" customHeight="1">
      <x:c r="A23" s="165" t="n">
        <x:v>20</x:v>
      </x:c>
      <x:c r="B23" s="51" t="str">
        <x:v>Guo等，2021</x:v>
      </x:c>
      <x:c r="C23" s="51" t="str">
        <x:v>The efficacy of internet-based cognitive behavioural therapy for social anxiety disorder: A systematic review and meta-analysis</x:v>
      </x:c>
      <x:c r="D23" s="51" t="str">
        <x:v>Clinical Psychology &amp; Psychotherapy</x:v>
      </x:c>
      <x:c r="E23" s="51" t="str">
        <x:v>系统综述与元分析</x:v>
      </x:c>
      <x:c r="F23" s="51" t="str">
        <x:v>互联网CBT的可行性与专业支持价值</x:v>
      </x:c>
      <x:c r="G23" s="52" t="str">
        <x:v>https://pubmed.ncbi.nlm.nih.gov/33142004/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bc66bb4593d4c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58" hidden="0" customWidth="1"/>
    <x:col min="4" max="4" width="50" hidden="0" customWidth="1"/>
  </x:cols>
  <x:sheetData>
    <x:row r="1">
      <x:c r="A1" s="5" t="str">
        <x:v>CBT / 心理学方法｜使用边界</x:v>
      </x:c>
      <x:c r="B1" s="5"/>
      <x:c r="C1" s="5"/>
      <x:c r="D1" s="5"/>
    </x:row>
    <x:row r="3">
      <x:c r="A3" s="21" t="str">
        <x:v>层级</x:v>
      </x:c>
      <x:c r="B3" s="21" t="str">
        <x:v>适合的情况</x:v>
      </x:c>
      <x:c r="C3" s="21" t="str">
        <x:v>不建议自行使用的情况</x:v>
      </x:c>
      <x:c r="D3" s="21" t="str">
        <x:v>建议处理</x:v>
      </x:c>
    </x:row>
    <x:row r="4" ht="62" customHeight="1">
      <x:c r="A4" s="151" t="str">
        <x:v>低风险自助</x:v>
      </x:c>
      <x:c r="B4" s="117" t="str">
        <x:v>轻度、具体、短期的比较或评价焦虑；仍能维持基本生活</x:v>
      </x:c>
      <x:c r="C4" s="117" t="str">
        <x:v>记录本身引发明显强迫或反复自责</x:v>
      </x:c>
      <x:c r="D4" s="118" t="str">
        <x:v>缩短练习、降低频率，只选一个方法</x:v>
      </x:c>
    </x:row>
    <x:row r="5" ht="62" customHeight="1">
      <x:c r="A5" s="152" t="str">
        <x:v>谨慎自助</x:v>
      </x:c>
      <x:c r="B5" s="120" t="str">
        <x:v>需要行为实验、分级暴露、减少安全行为或录像反馈</x:v>
      </x:c>
      <x:c r="C5" s="120" t="str">
        <x:v>存在明显惊恐、创伤反应、外貌强迫检查或现实网暴风险</x:v>
      </x:c>
      <x:c r="D5" s="121" t="str">
        <x:v>优先由合格心理专业人员共同设计</x:v>
      </x:c>
    </x:row>
    <x:row r="6" ht="62" customHeight="1">
      <x:c r="A6" s="152" t="str">
        <x:v>专业支持</x:v>
      </x:c>
      <x:c r="B6" s="120" t="str">
        <x:v>焦虑持续影响睡眠、学习、工作或重要关系</x:v>
      </x:c>
      <x:c r="C6" s="120" t="str">
        <x:v>长期回避、强迫检查、严重抑郁或功能明显受损</x:v>
      </x:c>
      <x:c r="D6" s="121" t="str">
        <x:v>寻求心理咨询、临床心理或精神科评估</x:v>
      </x:c>
    </x:row>
    <x:row r="7" ht="62" customHeight="1">
      <x:c r="A7" s="153" t="str">
        <x:v>紧急处理</x:v>
      </x:c>
      <x:c r="B7" s="123" t="str">
        <x:v>出现自伤或伤人想法、现实威胁、勒索、隐私泄露</x:v>
      </x:c>
      <x:c r="C7" s="123" t="str">
        <x:v>不应继续只做认知练习</x:v>
      </x:c>
      <x:c r="D7" s="124" t="str">
        <x:v>立即联系当地紧急服务、警方、平台及可信任人员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8" hidden="0" customWidth="1"/>
  </x:cols>
  <x:sheetData>
    <x:row r="1">
      <x:c r="A1" s="5" t="str">
        <x:v>知识库质量检查｜CBT / 心理学方法</x:v>
      </x:c>
      <x:c r="B1" s="5"/>
      <x:c r="C1" s="5"/>
      <x:c r="D1" s="5"/>
    </x:row>
    <x:row r="3">
      <x:c r="A3" s="21" t="str">
        <x:v>检查项目</x:v>
      </x:c>
      <x:c r="B3" s="21" t="str">
        <x:v>结果</x:v>
      </x:c>
      <x:c r="C3" s="21" t="str">
        <x:v>状态</x:v>
      </x:c>
      <x:c r="D3" s="21" t="str">
        <x:v>标准 / 说明</x:v>
      </x:c>
    </x:row>
    <x:row r="4" ht="28" customHeight="1">
      <x:c r="A4" s="151" t="str">
        <x:v>正式条目总数</x:v>
      </x:c>
      <x:c r="B4" s="157" t="n">
        <x:f>COUNTA('导入表'!A4:A23)</x:f>
        <x:v>20</x:v>
      </x:c>
      <x:c r="C4" s="157" t="str">
        <x:f>IF(B4=20,"通过","需检查")</x:f>
        <x:v>通过</x:v>
      </x:c>
      <x:c r="D4" s="118" t="str">
        <x:v>本版目标：20 条</x:v>
      </x:c>
    </x:row>
    <x:row r="5" ht="28" customHeight="1">
      <x:c r="A5" s="152" t="str">
        <x:v>空标题数量</x:v>
      </x:c>
      <x:c r="B5" s="158" t="n">
        <x:f>COUNTIF('导入表'!A4:A23,"")</x:f>
        <x:v>0</x:v>
      </x:c>
      <x:c r="C5" s="158" t="str">
        <x:f>IF(B5=0,"通过","需修正")</x:f>
        <x:v>通过</x:v>
      </x:c>
      <x:c r="D5" s="121" t="str">
        <x:v>必须为 0</x:v>
      </x:c>
    </x:row>
    <x:row r="6" ht="28" customHeight="1">
      <x:c r="A6" s="152" t="str">
        <x:v>空正文数量</x:v>
      </x:c>
      <x:c r="B6" s="158" t="n">
        <x:f>COUNTIF('导入表'!C4:C23,"")</x:f>
        <x:v>0</x:v>
      </x:c>
      <x:c r="C6" s="158" t="str">
        <x:f>IF(B6=0,"通过","需修正")</x:f>
        <x:v>通过</x:v>
      </x:c>
      <x:c r="D6" s="121" t="str">
        <x:v>必须为 0</x:v>
      </x:c>
    </x:row>
    <x:row r="7" ht="28" customHeight="1">
      <x:c r="A7" s="152" t="str">
        <x:v>分类名称不一致数量</x:v>
      </x:c>
      <x:c r="B7" s="158" t="n">
        <x:f>COUNTIF('导入表'!B4:B23,"&lt;&gt;CBT / 心理学方法")</x:f>
        <x:v>0</x:v>
      </x:c>
      <x:c r="C7" s="158" t="str">
        <x:f>IF(B7=0,"通过","需修正")</x:f>
        <x:v>通过</x:v>
      </x:c>
      <x:c r="D7" s="121" t="str">
        <x:v>必须为 0</x:v>
      </x:c>
    </x:row>
    <x:row r="8" ht="28" customHeight="1">
      <x:c r="A8" s="152" t="str">
        <x:v>首页推荐数量</x:v>
      </x:c>
      <x:c r="B8" s="158" t="n">
        <x:f>COUNTIF('导入表'!G4:G23,"是")</x:f>
        <x:v>4</x:v>
      </x:c>
      <x:c r="C8" s="158" t="str">
        <x:f>IF(AND(B8&gt;=B4*15%,B8&lt;=B4*25%),"通过","需调整")</x:f>
        <x:v>通过</x:v>
      </x:c>
      <x:c r="D8" s="121" t="str">
        <x:v>建议占总数 15%—25%</x:v>
      </x:c>
    </x:row>
    <x:row r="9" ht="28" customHeight="1">
      <x:c r="A9" s="152" t="str">
        <x:v>首页推荐占比</x:v>
      </x:c>
      <x:c r="B9" s="169" t="n">
        <x:f>B8/B4</x:f>
        <x:v>0.2</x:v>
      </x:c>
      <x:c r="C9" s="158" t="str">
        <x:f>IF(AND(B9&gt;=15%,B9&lt;=25%),"通过","需调整")</x:f>
        <x:v>通过</x:v>
      </x:c>
      <x:c r="D9" s="121" t="str">
        <x:v>建议 15%—25%</x:v>
      </x:c>
    </x:row>
    <x:row r="10" ht="28" customHeight="1">
      <x:c r="A10" s="152" t="str">
        <x:v>无效推荐值数量</x:v>
      </x:c>
      <x:c r="B10" s="158" t="n">
        <x:f>COUNTIF('导入表'!G4:G23,"&lt;&gt;是")-COUNTIF('导入表'!G4:G23,"否")</x:f>
        <x:v>0</x:v>
      </x:c>
      <x:c r="C10" s="158" t="str">
        <x:f>IF(B10=0,"通过","需修正")</x:f>
        <x:v>通过</x:v>
      </x:c>
      <x:c r="D10" s="121" t="str">
        <x:v>只能为“是”或“否”</x:v>
      </x:c>
    </x:row>
    <x:row r="11" ht="28" customHeight="1">
      <x:c r="A11" s="152" t="str">
        <x:v>重复标题数量</x:v>
      </x:c>
      <x:c r="B11" s="158" t="n">
        <x:v>0</x:v>
      </x:c>
      <x:c r="C11" s="158" t="str">
        <x:f>IF(B11=0,"通过","需修正")</x:f>
        <x:v>通过</x:v>
      </x:c>
      <x:c r="D11" s="121" t="str">
        <x:v>必须为 0</x:v>
      </x:c>
    </x:row>
    <x:row r="12" ht="28" customHeight="1">
      <x:c r="A12" s="152" t="str">
        <x:v>标题最大长度</x:v>
      </x:c>
      <x:c r="B12" s="158" t="n">
        <x:v>21</x:v>
      </x:c>
      <x:c r="C12" s="158" t="str">
        <x:f>IF(B12&lt;=60,"通过","需修正")</x:f>
        <x:v>通过</x:v>
      </x:c>
      <x:c r="D12" s="121" t="str">
        <x:v>≤60 字</x:v>
      </x:c>
    </x:row>
    <x:row r="13" ht="28" customHeight="1">
      <x:c r="A13" s="152" t="str">
        <x:v>正文最短长度</x:v>
      </x:c>
      <x:c r="B13" s="158" t="n">
        <x:v>402</x:v>
      </x:c>
      <x:c r="C13" s="158" t="str">
        <x:f>IF(B13&gt;=400,"通过","需检查")</x:f>
        <x:v>通过</x:v>
      </x:c>
      <x:c r="D13" s="121" t="str">
        <x:v>建议 400 字以上</x:v>
      </x:c>
    </x:row>
    <x:row r="14" ht="28" customHeight="1">
      <x:c r="A14" s="152" t="str">
        <x:v>正文最大长度</x:v>
      </x:c>
      <x:c r="B14" s="158" t="n">
        <x:v>483</x:v>
      </x:c>
      <x:c r="C14" s="158" t="str">
        <x:f>IF(B14&lt;=5000,"通过","需修正")</x:f>
        <x:v>通过</x:v>
      </x:c>
      <x:c r="D14" s="121" t="str">
        <x:v>≤5000 字</x:v>
      </x:c>
    </x:row>
    <x:row r="15" ht="28" customHeight="1">
      <x:c r="A15" s="152" t="str">
        <x:v>单条最多标签数</x:v>
      </x:c>
      <x:c r="B15" s="158" t="n">
        <x:v>4</x:v>
      </x:c>
      <x:c r="C15" s="158" t="str">
        <x:f>IF(B15&lt;=5,"通过","需修正")</x:f>
        <x:v>通过</x:v>
      </x:c>
      <x:c r="D15" s="121" t="str">
        <x:v>≤5 个</x:v>
      </x:c>
    </x:row>
    <x:row r="16" ht="28" customHeight="1">
      <x:c r="A16" s="152" t="str">
        <x:v>最长单个标签</x:v>
      </x:c>
      <x:c r="B16" s="158" t="n">
        <x:v>5</x:v>
      </x:c>
      <x:c r="C16" s="158" t="str">
        <x:f>IF(B16&lt;=10,"通过","需修正")</x:f>
        <x:v>通过</x:v>
      </x:c>
      <x:c r="D16" s="121" t="str">
        <x:v>≤10 字</x:v>
      </x:c>
    </x:row>
    <x:row r="17" ht="28" customHeight="1">
      <x:c r="A17" s="152" t="str">
        <x:v>适用场景最大长度</x:v>
      </x:c>
      <x:c r="B17" s="158" t="n">
        <x:v>36</x:v>
      </x:c>
      <x:c r="C17" s="158" t="str">
        <x:f>IF(B17&lt;=200,"通过","需修正")</x:f>
        <x:v>通过</x:v>
      </x:c>
      <x:c r="D17" s="121" t="str">
        <x:v>≤200 字</x:v>
      </x:c>
    </x:row>
    <x:row r="18" ht="28" customHeight="1">
      <x:c r="A18" s="153" t="str">
        <x:v>来源说明最大长度</x:v>
      </x:c>
      <x:c r="B18" s="159" t="n">
        <x:v>54</x:v>
      </x:c>
      <x:c r="C18" s="159" t="str">
        <x:f>IF(B18&lt;=200,"通过","需修正")</x:f>
        <x:v>通过</x:v>
      </x:c>
      <x:c r="D18" s="124" t="str">
        <x:v>≤200 字</x:v>
      </x:c>
    </x:row>
  </x:sheetData>
  <x:mergeCells>
    <x:mergeCell ref="A1:D1"/>
  </x:mergeCells>
  <x:conditionalFormatting sqref="C4:C18">
    <x:cfRule type="expression" dxfId="1" priority="1">
      <x:formula>C4="通过"</x:formula>
    </x:cfRule>
    <x:cfRule type="expression" dxfId="2" priority="2">
      <x:formula>C4&lt;&gt;"通过"</x:formula>
    </x:cfRule>
  </x:conditionalFormatting>
  <x:pageMargins left="0.7" right="0.7" top="0.75" bottom="0.75" header="0.3" footer="0.3"/>
</x:worksheet>
</file>