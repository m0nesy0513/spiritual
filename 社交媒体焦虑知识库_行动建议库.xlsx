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caa4f44a9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bfb74bf176754e1b"/>
    <x:sheet xmlns:r="http://schemas.openxmlformats.org/officeDocument/2006/relationships" name="行动地图" sheetId="2" r:id="R92d74401cb624a9a"/>
    <x:sheet xmlns:r="http://schemas.openxmlformats.org/officeDocument/2006/relationships" name="来源索引" sheetId="3" r:id="R90da70f18c9e4089"/>
    <x:sheet xmlns:r="http://schemas.openxmlformats.org/officeDocument/2006/relationships" name="分类边界" sheetId="4" r:id="Rbe50bbd4f3484f08"/>
    <x:sheet xmlns:r="http://schemas.openxmlformats.org/officeDocument/2006/relationships" name="质量检查" sheetId="5" r:id="R6ad0947738e3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5D50"/>
      <x:name val="Carlito"/>
    </x:font>
    <x:font>
      <x:b/>
      <x:sz val="11"/>
      <x:color rgb="FFFFFFFF"/>
      <x:name val="Carlito"/>
    </x:font>
    <x:font>
      <x:sz val="10"/>
      <x:color rgb="FF1E352F"/>
      <x:name val="Carlito"/>
    </x:font>
    <x:font>
      <x:b/>
      <x:sz val="10"/>
      <x:color rgb="FF2F5D50"/>
      <x:name val="Carlito"/>
    </x:font>
    <x:font>
      <x:b/>
      <x:sz val="11"/>
      <x:color rgb="FF2F5D5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E1F0E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b7e4bb5346f1" /><Relationship Type="http://schemas.openxmlformats.org/officeDocument/2006/relationships/theme" Target="/xl/theme/theme1.xml" Id="Rebf1f82699f7402b" /><Relationship Type="http://schemas.openxmlformats.org/officeDocument/2006/relationships/sharedStrings" Target="/xl/sharedStrings.xml" Id="Rd8d56a76ca914fac" /><Relationship Type="http://schemas.openxmlformats.org/officeDocument/2006/relationships/worksheet" Target="/xl/worksheets/sheet1.xml" Id="Rbfb74bf176754e1b" /><Relationship Type="http://schemas.openxmlformats.org/officeDocument/2006/relationships/worksheet" Target="/xl/worksheets/sheet2.xml" Id="R92d74401cb624a9a" /><Relationship Type="http://schemas.openxmlformats.org/officeDocument/2006/relationships/worksheet" Target="/xl/worksheets/sheet3.xml" Id="R90da70f18c9e4089" /><Relationship Type="http://schemas.openxmlformats.org/officeDocument/2006/relationships/worksheet" Target="/xl/worksheets/sheet4.xml" Id="Rbe50bbd4f3484f08" /><Relationship Type="http://schemas.openxmlformats.org/officeDocument/2006/relationships/worksheet" Target="/xl/worksheets/sheet5.xml" Id="R6ad0947738e343f7" /></Relationships>
</file>

<file path=xl/tables/table1.xml><?xml version="1.0" encoding="utf-8"?>
<x:table xmlns:x="http://schemas.openxmlformats.org/spreadsheetml/2006/main" id="1" name="ActionAdviceImportTable" displayName="ActionAdviceImportTable" ref="A3:G23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ActionAdviceSourceTable" displayName="ActionAdviceSourceTable" ref="A3:G23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989ec4b4749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a636bb41304d25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78" hidden="0" customWidth="1"/>
    <x:col min="4" max="4" width="29" hidden="0" customWidth="1"/>
    <x:col min="5" max="5" width="45" hidden="0" customWidth="1"/>
    <x:col min="6" max="6" width="56" hidden="0" customWidth="1"/>
    <x:col min="7" max="7" width="18" hidden="0" customWidth="1"/>
  </x:cols>
  <x:sheetData>
    <x:row r="1" ht="32" customHeight="1">
      <x:c r="A1" s="5" t="str">
        <x:v>社交媒体焦虑知识库｜行动建议库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20 条；正文为 Markdown；category 固定为“行动建议库”；首页推荐 4 条（20%）。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28" customHeight="1">
      <x:c r="A4" s="80" t="str">
        <x:v>先做三天使用基线，不凭感觉定目标</x:v>
      </x:c>
      <x:c r="B4" s="86" t="str">
        <x:v>行动建议库</x:v>
      </x:c>
      <x:c r="C4" s="45" t="str">
        <x:v>## 要解决什么
很多人只知道自己“刷得太多”，却不知道问题集中在哪个平台、哪个时段和哪种触发情境。直接设极端限额容易失败，也难判断真正需要调整的部分。
## 怎么做
连续三天只记录，不急着改变：
1. 查看系统屏幕使用时间和各应用时长。
2. 记录最常打开平台的三个时段。
3. 标记每次使用目的：联系、查信息、放松、逃避任务、比较或反复确认。
4. 写下使用后的状态：更轻松、无变化、疲惫或焦虑。
5. 三天后只选择一个最明显的问题作为首轮目标。
## 判断是否有效
你能说清“我要减少什么”，而不是笼统地责怪自己缺乏自控。例如：目标可以是“睡前短视频从45分钟降到25分钟”，而不是“以后绝不玩手机”。
## 注意事项
屏幕时间是线索，不是健康分数。学习、工作、导航和与重要的人联系也会产生时长；重点应放在是否干扰睡眠、任务、关系和情绪。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4" s="45" t="str">
        <x:v>使用基线,屏幕时间,触发记录,目标设置</x:v>
      </x:c>
      <x:c r="E4" s="45" t="str">
        <x:v>觉得自己手机用得失控，却不知道究竟哪个平台、时段或行为最需要调整时。</x:v>
      </x:c>
      <x:c r="F4" s="45" t="str">
        <x:v>参考：Olson等，2022，基于反馈与轻推的手机使用干预；WHO/Europe，2025。</x:v>
      </x:c>
      <x:c r="G4" s="92" t="str">
        <x:v>是</x:v>
      </x:c>
    </x:row>
    <x:row r="5" ht="128" customHeight="1">
      <x:c r="A5" s="81" t="str">
        <x:v>把目标改成小幅减少，而不是一次清零</x:v>
      </x:c>
      <x:c r="B5" s="87" t="str">
        <x:v>行动建议库</x:v>
      </x:c>
      <x:c r="C5" s="48" t="str">
        <x:v>## 要解决什么
从每天数小时直接降到零，容易带来强烈不适、错过必要联系或短期反弹。行动建议更适合从可持续的小幅改变开始。
## 怎么做
1. 用基线确定当前平均使用量。
2. 首轮只减少约15%—25%，或减少一个最容易失控的时段。
3. 保留必要功能，例如工作群、家人联系和学习资料。
4. 连续执行一周，再根据睡眠、情绪和任务完成情况调整。
5. 没完成时查看障碍，而不是立刻把目标加倍。
## 判断是否有效
目标应当让你仍能完成必要联络，同时减少机械刷新、无目的滚动或使用后的明显后悔。有效不等于每天完全一致，而是总体趋势更可控。
## 注意事项
研究对减少使用的平均效果总体谨慎积极，但不同干预、不同人群结果并不完全一致。不要把单一时长阈值当作所有人的标准，也不要因偶尔超时认定计划失败。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5" s="48" t="str">
        <x:v>小幅减少,可持续目标,使用上限,渐进调整</x:v>
      </x:c>
      <x:c r="E5" s="48" t="str">
        <x:v>多次尝试彻底戒断后迅速反弹，开始怀疑自己没有自制力时。</x:v>
      </x:c>
      <x:c r="F5" s="48" t="str">
        <x:v>参考：Plackett等，2023系统综述；Pieh等，2025随机试验；Wadsley等，2023。</x:v>
      </x:c>
      <x:c r="G5" s="93" t="str">
        <x:v>否</x:v>
      </x:c>
    </x:row>
    <x:row r="6" ht="128" customHeight="1">
      <x:c r="A6" s="81" t="str">
        <x:v>设置固定查看窗口，代替全天候随时检查</x:v>
      </x:c>
      <x:c r="B6" s="87" t="str">
        <x:v>行动建议库</x:v>
      </x:c>
      <x:c r="C6" s="48" t="str">
        <x:v>## 要解决什么
持续在线不一定来自单次使用很久，而可能来自一天中反复、短促地打开平台。固定窗口把“随时可能检查”改为“我知道下一次何时查看”。
## 怎么做
1. 根据工作和关系需求选择每天2—4个查看窗口。
2. 每个窗口集中处理消息、动态和必要通知。
3. 窗口之外出现冲动时，把要查的事情记在备忘录，而不是立刻打开。
4. 对重要联系人保留电话或其他紧急通道。
5. 一周后调整窗口数量，不必机械保持。
## 判断是否有效
工作、学习或休息时的自发解锁次数下降，同时没有明显错过必须处理的信息。重点是减少不可预测的中断，不是故意延迟所有回复。
## 注意事项
需要值班、客服或照护责任的人不适合完全固定时段。可以按联系人和应用设置例外，让真正紧急的信息保留即时通道。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6" s="48" t="str">
        <x:v>查看窗口,集中处理,在线警觉,消息边界</x:v>
      </x:c>
      <x:c r="E6" s="48" t="str">
        <x:v>每隔几分钟就想看一次消息，全天都感觉自己在等通知时。</x:v>
      </x:c>
      <x:c r="F6" s="48" t="str">
        <x:v>参考：Fitz等，2019，通知分批研究；Ohly与Bastin，2023，通知中断实验。</x:v>
      </x:c>
      <x:c r="G6" s="93" t="str">
        <x:v>是</x:v>
      </x:c>
    </x:row>
    <x:row r="7" ht="128" customHeight="1">
      <x:c r="A7" s="81" t="str">
        <x:v>把通知分批送达，而不是全部关闭</x:v>
      </x:c>
      <x:c r="B7" s="87" t="str">
        <x:v>行动建议库</x:v>
      </x:c>
      <x:c r="C7" s="48" t="str">
        <x:v>## 要解决什么
所有通知实时出现会持续打断注意；但一次性完全关闭也可能让部分人更焦虑，转而主动检查得更频繁。分批送达提供了中间方案。
## 怎么做
1. 保留电话、家人、重要工作等紧急通知。
2. 将社交平台、资讯和购物通知设为定时摘要或集中查看。
3. 若系统没有摘要功能，可以只保留角标，关闭声音和震动。
4. 每天选择固定时段统一处理。
5. 观察一周：注意力、FOMO和主动解锁是否变化。
## 判断是否有效
通知造成的即时打断减少，同时你不会因为完全失去提醒而更加紧张。若主动检查明显增加，可以缩短批次间隔，而不是立即恢复全部推送。
## 注意事项
通知管理本身未必自动减少屏幕时间。随机试验显示，单纯关闭通知可能改变主观控制感，却不一定改变使用行为，因此最好与查看窗口和访问摩擦同时使用。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7" s="48" t="str">
        <x:v>通知分批,定时摘要,推送管理,注意中断</x:v>
      </x:c>
      <x:c r="E7" s="48" t="str">
        <x:v>通知太多影响专注，但全部关闭后又更担心错过消息时。</x:v>
      </x:c>
      <x:c r="F7" s="48" t="str">
        <x:v>参考：Fitz等，2019；Dekker等，2025，关闭通知随机试验。</x:v>
      </x:c>
      <x:c r="G7" s="93" t="str">
        <x:v>否</x:v>
      </x:c>
    </x:row>
    <x:row r="8" ht="128" customHeight="1">
      <x:c r="A8" s="81" t="str">
        <x:v>用专注模式保护学习和工作时段</x:v>
      </x:c>
      <x:c r="B8" s="87" t="str">
        <x:v>行动建议库</x:v>
      </x:c>
      <x:c r="C8" s="48" t="str">
        <x:v>## 要解决什么
临时靠意志力抵抗每一次通知，会让注意力不断在任务和手机之间切换。专注模式通过环境设置预先减少选择次数。
## 怎么做
1. 选择一个明确时段，例如45分钟学习或90分钟深度工作。
2. 只允许电话、日历和必要工作应用。
3. 把社交平台、资讯和购物应用设为静默。
4. 手机放到视线外，但保留紧急联系例外。
5. 时段结束后集中查看，而不是任务中途“只看一眼”。
## 判断是否有效
任务中断和解锁次数减少，结束后也不需要用更长时间补偿性刷屏。可以从短时段开始，不必一上来设置半天。
## 注意事项
专注模式不能解决任务本身过难、焦虑或疲劳。若你总在同一任务上逃向手机，还需要缩小任务、休息或使用问题解决方法。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8" s="48" t="str">
        <x:v>专注模式,任务中断,深度工作,免打扰</x:v>
      </x:c>
      <x:c r="E8" s="48" t="str">
        <x:v>学习和工作时总被消息拉走，重新进入状态需要很久时。</x:v>
      </x:c>
      <x:c r="F8" s="48" t="str">
        <x:v>参考：Ohly与Bastin，2023，减少通知中断与任务表现；Olson等，2022。</x:v>
      </x:c>
      <x:c r="G8" s="93" t="str">
        <x:v>否</x:v>
      </x:c>
    </x:row>
    <x:row r="9" ht="128" customHeight="1">
      <x:c r="A9" s="81" t="str">
        <x:v>睡前留出30分钟无社交媒体缓冲区</x:v>
      </x:c>
      <x:c r="B9" s="87" t="str">
        <x:v>行动建议库</x:v>
      </x:c>
      <x:c r="C9" s="48" t="str">
        <x:v>## 要解决什么
睡前信息流会延长使用时间，也可能让比较、争论和未完成消息继续占据大脑。设置缓冲区比要求整晚不用手机更具体。
## 怎么做
1. 选择固定的“最后查看时间”，先从睡前30分钟开始。
2. 在此之前处理必要消息，并告知重要联系人夜间联系方式。
3. 到点后退出社交平台，不再打开推荐流和评论区。
4. 用固定替代活动衔接，例如洗漱、纸质阅读、音乐或简单整理。
5. 连续尝试两周，再决定是否延长。
## 判断是否有效
入睡前的刷屏时间、脑内争论和临时回复减少。评估时关注入睡速度、睡眠时长和第二天精神，不只看是否百分之百遵守。
## 注意事项
一项小型随机试验发现睡前30分钟限制手机使用改善了部分睡眠指标，但样本有限。持续严重失眠仍应按睡眠问题寻求专业帮助。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9" s="48" t="str">
        <x:v>睡前缓冲,睡眠,夜间刷屏,使用边界</x:v>
      </x:c>
      <x:c r="E9" s="48" t="str">
        <x:v>本来准备睡觉，却因动态、消息或评论区不断推迟入睡时。</x:v>
      </x:c>
      <x:c r="F9" s="48" t="str">
        <x:v>参考：He等，2020睡前手机限制试验；APA，2023健康建议。</x:v>
      </x:c>
      <x:c r="G9" s="93" t="str">
        <x:v>是</x:v>
      </x:c>
    </x:row>
    <x:row r="10" ht="128" customHeight="1">
      <x:c r="A10" s="81" t="str">
        <x:v>让手机离开床铺和枕边</x:v>
      </x:c>
      <x:c r="B10" s="87" t="str">
        <x:v>行动建议库</x:v>
      </x:c>
      <x:c r="C10" s="48" t="str">
        <x:v>## 要解决什么
手机放在枕边会让夜间查看变得几乎没有成本。即使已经设定睡前时间，伸手就能打开也容易恢复旧循环。
## 怎么做
1. 将充电位置移到床外、房间另一侧或门口。
2. 若需要闹钟，可使用独立闹钟，或把手机放到必须起身才能关闭的位置。
3. 夜间保留重要联系人的铃声例外。
4. 上床后不在被窝里处理普通消息。
5. 早晨先完成起床和洗漱，再查看推荐流。
## 判断是否有效
床上解锁次数减少，夜间醒来后不再自动打开平台。若焦虑明显增加，可以先从“离枕头一臂远”逐步移动，而不是一次放到很远。
## 注意事项
需要夜间照护、医疗监测或紧急值班的人应保留必要设备和通道。目标是增加非必要查看的摩擦，不是牺牲安全。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0" s="48" t="str">
        <x:v>手机位置,床上使用,睡眠环境,访问摩擦</x:v>
      </x:c>
      <x:c r="E10" s="48" t="str">
        <x:v>睡前和夜间醒来时会无意识摸到手机继续刷时。</x:v>
      </x:c>
      <x:c r="F10" s="48" t="str">
        <x:v>参考：Tu等，2023，限制床上手机使用；He等，2020。</x:v>
      </x:c>
      <x:c r="G10" s="93" t="str">
        <x:v>否</x:v>
      </x:c>
    </x:row>
    <x:row r="11" ht="128" customHeight="1">
      <x:c r="A11" s="81" t="str">
        <x:v>建立一个明确的无手机空间</x:v>
      </x:c>
      <x:c r="B11" s="87" t="str">
        <x:v>行动建议库</x:v>
      </x:c>
      <x:c r="C11" s="48" t="str">
        <x:v>## 要解决什么
如果所有地点都允许刷平台，使用会和吃饭、学习、聊天、洗漱等活动自动绑定。无手机空间通过环境线索建立清晰边界。
## 怎么做
1. 只选择一个空间，例如餐桌、书桌或卫生间。
2. 进入该空间前把手机放在固定位置。
3. 对同住者说明规则，避免被误解为故意不回复。
4. 必要时保留电话铃声或把紧急联系人加入例外。
5. 连续执行一周，再考虑扩展到其他空间。
## 判断是否有效
该空间中的自动解锁减少，原本被手机打断的活动更完整。无手机区不需要覆盖整个家庭，也不要求所有人使用同一规则。
## 注意事项
若边界太大导致无法坚持，应缩小到一个具体活动，例如“吃饭前15分钟不看推荐流”。环境设计应降低难度，而不是制造新的道德标准。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1" s="48" t="str">
        <x:v>无手机区,环境设计,使用边界,线下活动</x:v>
      </x:c>
      <x:c r="E11" s="48" t="str">
        <x:v>吃饭、学习和聊天都习惯性拿着手机，活动很难完整进行时。</x:v>
      </x:c>
      <x:c r="F11" s="48" t="str">
        <x:v>参考：Olson等，2022，轻推与环境摩擦；WHO/Europe，2025。</x:v>
      </x:c>
      <x:c r="G11" s="93" t="str">
        <x:v>否</x:v>
      </x:c>
    </x:row>
    <x:row r="12" ht="128" customHeight="1">
      <x:c r="A12" s="81" t="str">
        <x:v>把高触发应用移出首页并增加打开步骤</x:v>
      </x:c>
      <x:c r="B12" s="87" t="str">
        <x:v>行动建议库</x:v>
      </x:c>
      <x:c r="C12" s="48" t="str">
        <x:v>## 要解决什么
应用图标、角标和固定手势会让打开平台变成自动动作。增加一两个步骤，可以让“我真的要打开吗”重新进入意识。
## 怎么做
1. 将最容易失控的应用移出首屏和快捷栏。
2. 关闭角标，放进普通文件夹或只通过搜索打开。
3. 退出自动登录或使用系统应用限额，增加轻微摩擦。
4. 保留必要通讯工具，不要把所有功能同时封锁。
5. 每周检查：打开次数是否下降，还是转移到其他应用。
## 判断是否有效
无目的打开和肌肉记忆式点击减少；需要使用时仍能正常进入。若你只是改刷另一个平台，应重新识别真正的使用目的。
## 注意事项
增加摩擦比完全删除温和，但也不会对所有人有效。研究显示减少持续联网或使用轻推工具可能改善部分指标，效果仍受个人习惯和替代行为影响。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2" s="48" t="str">
        <x:v>访问摩擦,移出首页,应用角标,自动打开</x:v>
      </x:c>
      <x:c r="E12" s="48" t="str">
        <x:v>经常在没有明确目的时，仅凭手指习惯打开同一个平台时。</x:v>
      </x:c>
      <x:c r="F12" s="48" t="str">
        <x:v>参考：Olson等，2022；Castelo等，2025，阻断移动互联网随机干预。</x:v>
      </x:c>
      <x:c r="G12" s="93" t="str">
        <x:v>否</x:v>
      </x:c>
    </x:row>
    <x:row r="13" ht="128" customHeight="1">
      <x:c r="A13" s="81" t="str">
        <x:v>整理关注列表：先静音，再决定是否取关</x:v>
      </x:c>
      <x:c r="B13" s="87" t="str">
        <x:v>行动建议库</x:v>
      </x:c>
      <x:c r="C13" s="48" t="str">
        <x:v>## 要解决什么
某些账号并非有害，却会在你当前阶段反复触发外貌、学业、消费或关系比较。立即取关可能带来内疚，静音可以先测试影响。
## 怎么做
1. 列出最近一周刷完后明显变差的账号。
2. 区分内容类型：比较触发、灾难信息、营销、冲突或前任动态。
3. 先静音7—14天，不需要公开解释。
4. 观察情绪、搜索冲动和是否主动回看。
5. 到期后决定恢复、继续静音或取关。
## 判断是否有效
信息流更符合你的实际需要，刷完后的自我攻击或情绪耗竭下降。判断重点是内容对你的影响，不是发布者是否“坏”。
## 注意事项
静音可能让人主动搜索对方，尤其在关系焦虑中。若出现这种情况，可以把静音与延迟搜索、固定查看或CBT方法结合。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3" s="48" t="str">
        <x:v>关注整理,静音账号,内容触发,信息环境</x:v>
      </x:c>
      <x:c r="E13" s="48" t="str">
        <x:v>某些账号每次出现都会触发比较，但又因人情或关系不想立刻取关时。</x:v>
      </x:c>
      <x:c r="F13" s="48" t="str">
        <x:v>参考：APA，2023，关注内容与个体脆弱性的匹配；Seekis等，2025。</x:v>
      </x:c>
      <x:c r="G13" s="93" t="str">
        <x:v>是</x:v>
      </x:c>
    </x:row>
    <x:row r="14" ht="128" customHeight="1">
      <x:c r="A14" s="81" t="str">
        <x:v>主动使用“不感兴趣”、关键词屏蔽和内容过滤</x:v>
      </x:c>
      <x:c r="B14" s="87" t="str">
        <x:v>行动建议库</x:v>
      </x:c>
      <x:c r="C14" s="48" t="str">
        <x:v>## 要解决什么
推荐流会根据停留、点击、搜索和互动继续学习。只是愤怒观看或反复点开，也可能让同类内容持续出现。
## 怎么做
1. 遇到明确不想继续接收的内容，使用“不感兴趣”或减少推荐。
2. 屏蔽反复触发的关键词、话题或账号。
3. 不在触发内容下长时间阅读评论或争辩，以免继续提供行为信号。
4. 主动搜索并关注更符合需求的内容，重建信息输入。
5. 给调整留出几天，不期待一次操作立刻改变全部推荐。
## 判断是否有效
推荐流中高触发内容比例逐渐下降，主动搜索和停留也更有目的。若平台过滤能力有限，可改用关注页、收藏夹或暂时退出推荐流。
## 注意事项
算法具体规则不透明，不应承诺某个操作一定有效。本建议强调减少你主动提供的兴趣信号，并利用平台已有控制选项。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4" s="48" t="str">
        <x:v>内容过滤,关键词屏蔽,减少推荐,算法反馈</x:v>
      </x:c>
      <x:c r="E14" s="48" t="str">
        <x:v>主页连续出现同类焦虑内容，明明不喜欢却总会点开或停留时。</x:v>
      </x:c>
      <x:c r="F14" s="48" t="str">
        <x:v>参考：WHO/Europe，2025，数字环境保护；APA，2023，内容风险与数字素养。</x:v>
      </x:c>
      <x:c r="G14" s="93" t="str">
        <x:v>否</x:v>
      </x:c>
    </x:row>
    <x:row r="15" ht="128" customHeight="1">
      <x:c r="A15" s="81" t="str">
        <x:v>灾难和热点信息只保留少量可靠来源</x:v>
      </x:c>
      <x:c r="B15" s="87" t="str">
        <x:v>行动建议库</x:v>
      </x:c>
      <x:c r="C15" s="48" t="str">
        <x:v>## 要解决什么
同一事件在多个平台、账号和评论区重复出现，会制造信息很多、但有效信息很少的状态，并不断提高情绪刺激。
## 怎么做
1. 为重要事件只选择1—2个可靠新闻或官方来源。
2. 规定每日查看次数和时间，例如午间、晚间各一次。
3. 不把评论区、未经核实截图和二次剪辑当作同等证据。
4. 需要行动时，直接查看权威通知或求助渠道。
5. 达到当天信息目标后退出，不继续搜索情绪更强的版本。
## 判断是否有效
你能够获得必要信息，同时减少重复刷新、阴谋推测和情绪化视频输入。目标不是与世界隔绝，而是把“知道发生了什么”与“持续围观”分开。
## 注意事项
处于真实灾害地区时，应优先关注当地应急、天气、交通和安全通知。本建议不适用于必须实时监测事件的工作职责。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5" s="48" t="str">
        <x:v>灾难信息,可靠来源,查看时段,末日刷屏</x:v>
      </x:c>
      <x:c r="E15" s="48" t="str">
        <x:v>同一灾难或热点刷了很多小时，却没有获得新的可行动信息时。</x:v>
      </x:c>
      <x:c r="F15" s="48" t="str">
        <x:v>参考：APA，2023内容风险建议；WHO/Europe，2025数字环境政策简报。</x:v>
      </x:c>
      <x:c r="G15" s="93" t="str">
        <x:v>否</x:v>
      </x:c>
    </x:row>
    <x:row r="16" ht="128" customHeight="1">
      <x:c r="A16" s="81" t="str">
        <x:v>把短期暂停做成一次有起止点的实验</x:v>
      </x:c>
      <x:c r="B16" s="87" t="str">
        <x:v>行动建议库</x:v>
      </x:c>
      <x:c r="C16" s="48" t="str">
        <x:v>## 要解决什么
短期暂停可以帮助观察没有平台时的情绪和习惯，但模糊的“我要戒掉”容易变成无限期承诺或失败测试。
## 怎么做
1. 明确暂停对象：一个平台、推荐流或全部非必要社交媒体。
2. 明确时长：24小时、三天或一周。
3. 提前保存必要联系人和替代联络方式。
4. 写下想观察的指标：焦虑、睡眠、FOMO、专注、孤独和替代活动。
5. 到期后复盘，而不是自动永久退出或全部恢复。
## 判断是否有效
你获得了关于自己使用模式的新信息，例如最难受的时段、真正需要的功能和可以舍弃的内容。结果可以是“暂停有帮助”，也可以是“完全停用增加孤独，需要改为限时使用”。
## 注意事项
研究显示暂停的平均效应较小且不完全一致，部分人会体验FOMO或连接减少。暂停不是道德测试，也不能替代心理治疗。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6" s="48" t="str">
        <x:v>短期暂停,数字排毒,使用实验,复盘</x:v>
      </x:c>
      <x:c r="E16" s="48" t="str">
        <x:v>想知道社交媒体究竟如何影响自己，但不确定是否适合长期停用时。</x:v>
      </x:c>
      <x:c r="F16" s="48" t="str">
        <x:v>参考：Lambert等，2022；Lemahieu等，2025元分析；Wadsley等，2023。</x:v>
      </x:c>
      <x:c r="G16" s="93" t="str">
        <x:v>否</x:v>
      </x:c>
    </x:row>
    <x:row r="17" ht="128" customHeight="1">
      <x:c r="A17" s="81" t="str">
        <x:v>暂停后分阶段恢复，而不是一次装回全部应用</x:v>
      </x:c>
      <x:c r="B17" s="87" t="str">
        <x:v>行动建议库</x:v>
      </x:c>
      <x:c r="C17" s="48" t="str">
        <x:v>## 要解决什么
短期暂停结束后若一次恢复所有平台、通知和关注内容，旧环境会迅速回来，也难判断哪个部分真正造成压力。
## 怎么做
1. 先恢复必要通讯功能。
2. 每隔两三天只恢复一个平台或一种功能。
3. 首周保持通知关闭或分批送达。
4. 记录每个平台恢复后对睡眠、比较和时间的影响。
5. 没有明确价值的平台可以继续停用，而不是因“大家都在用”自动恢复。
## 判断是否有效
你能区分哪些功能带来连接和信息价值，哪些主要制造被动滚动和焦虑。恢复过程越慢，越容易识别真正的触发点。
## 注意事项
分阶段恢复是行为实验，不要求永久删除。若平台与工作、学习或关系强绑定，可只调整推荐流、通知和查看窗口，而非停用整个应用。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7" s="48" t="str">
        <x:v>恢复计划,分阶段,数字排毒,平台选择</x:v>
      </x:c>
      <x:c r="E17" s="48" t="str">
        <x:v>暂停结束后担心一恢复就回到原来的刷屏状态时。</x:v>
      </x:c>
      <x:c r="F17" s="48" t="str">
        <x:v>参考：de Hesselle等，2024；Ramadhan等，2024；Plackett等，2023。</x:v>
      </x:c>
      <x:c r="G17" s="93" t="str">
        <x:v>否</x:v>
      </x:c>
    </x:row>
    <x:row r="18" ht="128" customHeight="1">
      <x:c r="A18" s="81" t="str">
        <x:v>为减少的刷屏时间安排替代活动</x:v>
      </x:c>
      <x:c r="B18" s="87" t="str">
        <x:v>行动建议库</x:v>
      </x:c>
      <x:c r="C18" s="48" t="str">
        <x:v>## 要解决什么
单纯移除社交媒体会留下空白。若没有替代活动，人在无聊、焦虑或疲惫时往往会重新安装、换平台或用其他屏幕填满时间。
## 怎么做
1. 找出原本使用平台的主要功能：放松、连接、逃避、获取信息或打发等待。
2. 为每种功能准备一个低门槛替代：
   - 放松：音乐、散步、洗澡。
   - 连接：给一个具体朋友发消息或见面。
   - 信息：固定新闻来源。
   - 等待：电子书、离线文章或简单游戏。
3. 把替代活动提前放在容易看到的位置。
4. 每次只要求先做五分钟，再决定是否打开平台。
## 判断是否有效
减少使用后，不会只剩强烈空虚和无聊；现实活动、睡眠或任务得到实际时间。替代活动应满足原本需求，而不是只被认为“更高尚”。
## 注意事项
若刷屏主要用于逃避强烈焦虑、抑郁或现实困境，仅更换活动可能不够，需要结合CBT、问题解决或专业支持。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8" s="48" t="str">
        <x:v>替代活动,行为替换,减少刷屏,现实生活</x:v>
      </x:c>
      <x:c r="E18" s="48" t="str">
        <x:v>删掉应用后很快因无聊或空虚重新下载，或者转去刷另一个平台时。</x:v>
      </x:c>
      <x:c r="F18" s="48" t="str">
        <x:v>参考：Plackett等，2023；Olson等，2022，行为轻推与替代环境设计。</x:v>
      </x:c>
      <x:c r="G18" s="93" t="str">
        <x:v>否</x:v>
      </x:c>
    </x:row>
    <x:row r="19" ht="128" customHeight="1">
      <x:c r="A19" s="81" t="str">
        <x:v>发布后设定固定反馈检查时间</x:v>
      </x:c>
      <x:c r="B19" s="87" t="str">
        <x:v>行动建议库</x:v>
      </x:c>
      <x:c r="C19" s="48" t="str">
        <x:v>## 要解决什么
发布内容后不断刷新点赞、评论和阅读量，会把整个等待过程变成持续警报。预先设定检查时间可以减少临时决策。
## 怎么做
1. 发布前决定第一次查看时间，例如30分钟或1小时后。
2. 关闭该条内容的即时互动推送。
3. 到点后集中查看和回复一次。
4. 下一次查看放在更晚的固定时段，例如当天晚上。
5. 数据不佳时，至少等到预定复盘时间再决定是否删除或修改。
## 判断是否有效
发布后的刷新次数和情绪波动下降，你能继续完成原来的任务。检查时间应根据工作需要调整，商业账号不必照搬个人账号标准。
## 注意事项
这是一项环境和时间设置，不是要求忽视真实反馈。需要审核违法、隐私或危机评论的账号，应建立值班和关键词预警，而不是完全延迟处理。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19" s="48" t="str">
        <x:v>发布焦虑,检查时间,点赞反馈,延迟查看</x:v>
      </x:c>
      <x:c r="E19" s="48" t="str">
        <x:v>动态或作品发布后，几分钟内反复查看数据，无法做其他事情时。</x:v>
      </x:c>
      <x:c r="F19" s="48" t="str">
        <x:v>参考：Fitz等，2019，通知分批；Dekker等，2025；Olson等，2022。</x:v>
      </x:c>
      <x:c r="G19" s="93" t="str">
        <x:v>否</x:v>
      </x:c>
    </x:row>
    <x:row r="20" ht="128" customHeight="1">
      <x:c r="A20" s="81" t="str">
        <x:v>创作者只在固定窗口查看数据后台</x:v>
      </x:c>
      <x:c r="B20" s="87" t="str">
        <x:v>行动建议库</x:v>
      </x:c>
      <x:c r="C20" s="48" t="str">
        <x:v>## 要解决什么
创作者需要数据进行工作，但实时监控容易把短期波动变成全天候压力。固定数据窗口能保留分析价值，同时减少反复确认。
## 怎么做
1. 根据发布频率设置每日1—3个后台查看窗口。
2. 每次只记录预先确定的指标，例如完播、收藏、转化和评论质量。
3. 不在单次波动后立即全面改版，至少等待足够样本。
4. 将创作时段与数据分析时段分开。
5. 对异常流量先记录可能因素，再决定是否采取行动。
## 判断是否有效
后台查看更像工作分析，而不是情绪确认；创作过程不再被每小时数据波动打断。有效指标应服务具体目标，而不是只看最醒目的数字。
## 注意事项
平台运营、客服和危机公关可能需要更高频监测，可以由团队轮班或设置必要预警。固定窗口不是忽视业务风险。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20" s="48" t="str">
        <x:v>创作者,数据后台,查看窗口,流量压力</x:v>
      </x:c>
      <x:c r="E20" s="48" t="str">
        <x:v>作品发布后全天盯着后台，每次数据变化都会影响创作和情绪时。</x:v>
      </x:c>
      <x:c r="F20" s="48" t="str">
        <x:v>参考：Fitz等，2019通知分批原则；Ohly与Bastin，2023，减少中断。</x:v>
      </x:c>
      <x:c r="G20" s="93" t="str">
        <x:v>否</x:v>
      </x:c>
    </x:row>
    <x:row r="21" ht="128" customHeight="1">
      <x:c r="A21" s="81" t="str">
        <x:v>给社交媒体购物增加24小时等待期</x:v>
      </x:c>
      <x:c r="B21" s="87" t="str">
        <x:v>行动建议库</x:v>
      </x:c>
      <x:c r="C21" s="48" t="str">
        <x:v>## 要解决什么
直播、短视频和种草内容把情绪唤起、社交证明和便捷支付放在同一界面中，容易缩短比较需求与付款之间的时间。
## 怎么做
1. 非必需品先加入普通清单，不立即付款。
2. 关闭免密支付或取消平台自动绑定的快捷付款。
3. 记录商品、价格和“我希望它证明什么”。
4. 至少等待24小时，再检查预算、替代品和真实使用场景。
5. 若仍决定购买，明确从哪项预算支出。
## 判断是否有效
冲动付款减少，购买决定与直播倒计时、博主身份和当下情绪分离。重点不是禁止消费，而是恢复思考时间。
## 注意事项
本条属于一般消费行为建议，不构成财务规划。若已经出现无法控制的负债、隐瞒消费或明显影响生活，应寻求财务和心理专业支持。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21" s="48" t="str">
        <x:v>消费等待,关闭免密,冲动购物,种草</x:v>
      </x:c>
      <x:c r="E21" s="48" t="str">
        <x:v>刷到限时带货或精致生活内容后，明知预算紧张仍想立刻付款时。</x:v>
      </x:c>
      <x:c r="F21" s="48" t="str">
        <x:v>参考：APA，2023数字素养与商业内容建议；WHO/Europe，2025数字环境保护框架。</x:v>
      </x:c>
      <x:c r="G21" s="93" t="str">
        <x:v>否</x:v>
      </x:c>
    </x:row>
    <x:row r="22" ht="128" customHeight="1">
      <x:c r="A22" s="81" t="str">
        <x:v>提前说明回复边界，并保留紧急联系方式</x:v>
      </x:c>
      <x:c r="B22" s="87" t="str">
        <x:v>行动建议库</x:v>
      </x:c>
      <x:c r="C22" s="48" t="str">
        <x:v>## 要解决什么
很多在线警觉来自“别人会不会觉得我必须秒回”。若关系中没有约定，关闭通知和固定查看窗口可能带来新的内疚与误解。
## 怎么做
1. 对重要的人说明自己的普通回复节奏。
2. 明确真正紧急时使用电话、特定关键词或其他通道。
3. 工作群可设置状态说明或固定在线时段。
4. 不需要向所有联系人逐一解释，只对高频、重要关系沟通。
5. 若对方有特殊照护需要，共同制定例外规则。
## 判断是否有效
你在离线时更少担心错过关键事情，对方也知道如何在紧急情况下找到你。边界应同时保护联系和休息，而不是单方面消失。
## 注意事项
边界不会让所有人满意，也不适合用于逃避已经承诺的职责。遇到控制、威胁或强迫在线的关系，需要进一步评估现实安全和人际边界。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22" s="48" t="str">
        <x:v>回复边界,紧急通道,在线期待,关系沟通</x:v>
      </x:c>
      <x:c r="E22" s="48" t="str">
        <x:v>想减少随时在线，却担心朋友、伴侣或同事把延迟回复理解为冷落时。</x:v>
      </x:c>
      <x:c r="F22" s="48" t="str">
        <x:v>参考：APA，2023，促进健康社交媒体使用与家庭沟通；WHO/Europe，2025。</x:v>
      </x:c>
      <x:c r="G22" s="93" t="str">
        <x:v>否</x:v>
      </x:c>
    </x:row>
    <x:row r="23" ht="128" customHeight="1">
      <x:c r="A23" s="82" t="str">
        <x:v>每周只复盘一次设置，不要每天改规则</x:v>
      </x:c>
      <x:c r="B23" s="88" t="str">
        <x:v>行动建议库</x:v>
      </x:c>
      <x:c r="C23" s="51" t="str">
        <x:v>## 要解决什么
频繁更改限额、屏蔽列表和使用规则，会让计划变成另一种焦虑监控。固定复盘周期有助于根据趋势调整，而不是被一天的波动牵着走。
## 怎么做
每周选一个固定时间，回答五个问题：
1. 哪个调整最容易坚持？
2. 哪个时段仍然最容易失控？
3. 哪些内容带来价值，哪些主要消耗？
4. 睡眠、任务、关系和情绪有什么变化？
5. 下周只保留、增加或修改哪一项？
其余时间不因一次超时就重做全部方案。
## 判断是否有效
行动设置逐渐稳定，你能看见一周趋势，而不是每天在“成功”和“失败”之间摇摆。每次只修改一个变量，更容易知道改变来自哪里。
## 注意事项
复盘不是给自己打分。若所有设置都难以执行，先降低目标或检查背后的焦虑、抑郁、工作压力与睡眠问题。
## 实施建议
一次只改一个设置，连续观察至少七天，并记录睡眠、任务完成、情绪和必要联络是否受到影响。若使用时间减少却焦虑、孤独或工作负担明显增加，不要继续加码；先恢复必要功能，再缩小目标或调整方法。</x:v>
      </x:c>
      <x:c r="D23" s="51" t="str">
        <x:v>每周复盘,规则调整,使用计划,趋势</x:v>
      </x:c>
      <x:c r="E23" s="51" t="str">
        <x:v>每天根据情绪更改限额和屏蔽设置，结果计划越来越复杂、越来越难坚持时。</x:v>
      </x:c>
      <x:c r="F23" s="51" t="str">
        <x:v>参考：Olson等，2022，使用反馈与持续干预；Plackett等，2023系统综述。</x:v>
      </x:c>
      <x:c r="G23" s="94" t="str">
        <x:v>否</x:v>
      </x:c>
    </x:row>
  </x:sheetData>
  <x:mergeCells>
    <x:mergeCell ref="A1:G1"/>
    <x:mergeCell ref="A2:G2"/>
  </x:mergeCells>
  <x:conditionalFormatting sqref="G4:G23">
    <x:cfRule type="expression" dxfId="0" priority="1">
      <x:formula>G4="是"</x:formula>
    </x:cfRule>
  </x:conditionalFormatting>
  <x:dataValidations count="2">
    <x:dataValidation type="list" sqref="B4:B23">
      <x:formula1>"行动建议库"</x:formula1>
    </x:dataValidation>
    <x:dataValidation type="list" sqref="G4:G2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989ec4b4749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10" hidden="0" customWidth="1"/>
    <x:col min="4" max="4" width="50" hidden="0" customWidth="1"/>
    <x:col min="5" max="5" width="56" hidden="0" customWidth="1"/>
  </x:cols>
  <x:sheetData>
    <x:row r="1">
      <x:c r="A1" s="5" t="str">
        <x:v>行动建议库｜主题地图</x:v>
      </x:c>
      <x:c r="B1" s="5"/>
      <x:c r="C1" s="5"/>
      <x:c r="D1" s="5"/>
      <x:c r="E1" s="5"/>
    </x:row>
    <x:row r="2">
      <x:c r="A2" s="13" t="str">
        <x:v>本分类调整使用环境和行为边界，不承担当下情绪急救、完整认知治疗或长期自我价值训练。</x:v>
      </x:c>
      <x:c r="B2" s="13"/>
      <x:c r="C2" s="13"/>
      <x:c r="D2" s="13"/>
      <x:c r="E2" s="13"/>
    </x:row>
    <x:row r="4">
      <x:c r="A4" s="21" t="str">
        <x:v>行动组</x:v>
      </x:c>
      <x:c r="B4" s="21" t="str">
        <x:v>包含条目</x:v>
      </x:c>
      <x:c r="C4" s="21" t="str">
        <x:v>数量</x:v>
      </x:c>
      <x:c r="D4" s="21" t="str">
        <x:v>主要目标</x:v>
      </x:c>
      <x:c r="E4" s="21" t="str">
        <x:v>与其他分类边界</x:v>
      </x:c>
    </x:row>
    <x:row r="5" ht="66" customHeight="1">
      <x:c r="A5" s="151" t="str">
        <x:v>目标与复盘</x:v>
      </x:c>
      <x:c r="B5" s="117" t="str">
        <x:v>三天基线、小幅减少、每周复盘</x:v>
      </x:c>
      <x:c r="C5" s="157" t="n">
        <x:v>3</x:v>
      </x:c>
      <x:c r="D5" s="117" t="str">
        <x:v>把模糊自责变成可持续、可观察的调整</x:v>
      </x:c>
      <x:c r="E5" s="118" t="str">
        <x:v>自动想法与证据检查属于CBT；价值观练习属于长期训练</x:v>
      </x:c>
    </x:row>
    <x:row r="6" ht="66" customHeight="1">
      <x:c r="A6" s="152" t="str">
        <x:v>通知与时段</x:v>
      </x:c>
      <x:c r="B6" s="120" t="str">
        <x:v>固定查看、通知分批、专注模式</x:v>
      </x:c>
      <x:c r="C6" s="158" t="n">
        <x:v>3</x:v>
      </x:c>
      <x:c r="D6" s="120" t="str">
        <x:v>减少全天候中断和随时检查</x:v>
      </x:c>
      <x:c r="E6" s="121" t="str">
        <x:v>焦虑突然升高时的稳定步骤属于情绪急救</x:v>
      </x:c>
    </x:row>
    <x:row r="7" ht="66" customHeight="1">
      <x:c r="A7" s="152" t="str">
        <x:v>睡眠与环境</x:v>
      </x:c>
      <x:c r="B7" s="120" t="str">
        <x:v>睡前缓冲、手机离床、无手机空间、增加访问摩擦</x:v>
      </x:c>
      <x:c r="C7" s="158" t="n">
        <x:v>4</x:v>
      </x:c>
      <x:c r="D7" s="120" t="str">
        <x:v>用物理环境降低自动打开和夜间使用</x:v>
      </x:c>
      <x:c r="E7" s="121" t="str">
        <x:v>不把环境设置写成医学治疗</x:v>
      </x:c>
    </x:row>
    <x:row r="8" ht="66" customHeight="1">
      <x:c r="A8" s="152" t="str">
        <x:v>内容与信息</x:v>
      </x:c>
      <x:c r="B8" s="120" t="str">
        <x:v>整理关注、内容过滤、可靠信息来源</x:v>
      </x:c>
      <x:c r="C8" s="158" t="n">
        <x:v>3</x:v>
      </x:c>
      <x:c r="D8" s="120" t="str">
        <x:v>降低高触发内容比例和重复输入</x:v>
      </x:c>
      <x:c r="E8" s="121" t="str">
        <x:v>为什么内容触发焦虑属于焦虑类型解释</x:v>
      </x:c>
    </x:row>
    <x:row r="9" ht="66" customHeight="1">
      <x:c r="A9" s="152" t="str">
        <x:v>暂停与恢复</x:v>
      </x:c>
      <x:c r="B9" s="120" t="str">
        <x:v>短期暂停、分阶段恢复、替代活动</x:v>
      </x:c>
      <x:c r="C9" s="158" t="n">
        <x:v>3</x:v>
      </x:c>
      <x:c r="D9" s="120" t="str">
        <x:v>用有起止点的实验了解自身使用模式</x:v>
      </x:c>
      <x:c r="E9" s="121" t="str">
        <x:v>不宣传一刀切数字排毒</x:v>
      </x:c>
    </x:row>
    <x:row r="10" ht="66" customHeight="1">
      <x:c r="A10" s="152" t="str">
        <x:v>发布与消费边界</x:v>
      </x:c>
      <x:c r="B10" s="120" t="str">
        <x:v>发布后检查、创作者后台窗口、购物等待</x:v>
      </x:c>
      <x:c r="C10" s="158" t="n">
        <x:v>3</x:v>
      </x:c>
      <x:c r="D10" s="120" t="str">
        <x:v>减少数据确认和即时消费压力</x:v>
      </x:c>
      <x:c r="E10" s="121" t="str">
        <x:v>营销机制拆解属于套路拆解</x:v>
      </x:c>
    </x:row>
    <x:row r="11" ht="66" customHeight="1">
      <x:c r="A11" s="153" t="str">
        <x:v>关系沟通</x:v>
      </x:c>
      <x:c r="B11" s="123" t="str">
        <x:v>回复边界与紧急通道</x:v>
      </x:c>
      <x:c r="C11" s="159" t="n">
        <x:v>1</x:v>
      </x:c>
      <x:c r="D11" s="123" t="str">
        <x:v>兼顾离线权与必要连接</x:v>
      </x:c>
      <x:c r="E11" s="124" t="str">
        <x:v>深层关系模式不在本分类展开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4" hidden="0" customWidth="1"/>
    <x:col min="4" max="4" width="39" hidden="0" customWidth="1"/>
    <x:col min="5" max="5" width="27" hidden="0" customWidth="1"/>
    <x:col min="6" max="6" width="45" hidden="0" customWidth="1"/>
    <x:col min="7" max="7" width="58" hidden="0" customWidth="1"/>
  </x:cols>
  <x:sheetData>
    <x:row r="1">
      <x:c r="A1" s="5" t="str">
        <x:v>来源索引｜社交媒体使用干预与数字边界</x:v>
      </x:c>
      <x:c r="B1" s="5"/>
      <x:c r="C1" s="5"/>
      <x:c r="D1" s="5"/>
      <x:c r="E1" s="5"/>
      <x:c r="F1" s="5"/>
      <x:c r="G1" s="5"/>
    </x:row>
    <x:row r="2">
      <x:c r="A2" s="13" t="str">
        <x:v>source_note 使用简写；本页保留完整题名、证据类型和稳定链接。干预平均效果有限且存在个体差异，不能据此保证单一设置必然有效。</x:v>
      </x:c>
      <x:c r="B2" s="13"/>
      <x:c r="C2" s="13"/>
      <x:c r="D2" s="13"/>
      <x:c r="E2" s="13"/>
      <x:c r="F2" s="13"/>
      <x:c r="G2" s="13"/>
    </x:row>
    <x:row r="3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稳定链接</x:v>
      </x:c>
    </x:row>
    <x:row r="4" ht="58" customHeight="1">
      <x:c r="A4" s="163" t="n">
        <x:v>1</x:v>
      </x:c>
      <x:c r="B4" s="45" t="str">
        <x:v>Plackett等，2023</x:v>
      </x:c>
      <x:c r="C4" s="45" t="str">
        <x:v>The Impact of Social Media Use Interventions on Mental Well-Being: Systematic Review</x:v>
      </x:c>
      <x:c r="D4" s="45" t="str">
        <x:v>Journal of Medical Internet Research</x:v>
      </x:c>
      <x:c r="E4" s="45" t="str">
        <x:v>系统综述</x:v>
      </x:c>
      <x:c r="F4" s="45" t="str">
        <x:v>社交媒体使用干预、减少使用、治疗型与教育型干预的总体证据</x:v>
      </x:c>
      <x:c r="G4" s="46" t="str">
        <x:v>https://pubmed.ncbi.nlm.nih.gov/37565693/</x:v>
      </x:c>
    </x:row>
    <x:row r="5" ht="58" customHeight="1">
      <x:c r="A5" s="164" t="n">
        <x:v>2</x:v>
      </x:c>
      <x:c r="B5" s="48" t="str">
        <x:v>Lambert等，2022</x:v>
      </x:c>
      <x:c r="C5" s="48" t="str">
        <x:v>Taking a One-Week Break from Social Media Improves Well-Being, Depression, and Anxiety: A Randomized Controlled Trial</x:v>
      </x:c>
      <x:c r="D5" s="48" t="str">
        <x:v>Cyberpsychology, Behavior, and Social Networking</x:v>
      </x:c>
      <x:c r="E5" s="48" t="str">
        <x:v>随机对照试验</x:v>
      </x:c>
      <x:c r="F5" s="48" t="str">
        <x:v>一周社交媒体暂停及其对幸福感、抑郁和焦虑的影响</x:v>
      </x:c>
      <x:c r="G5" s="49" t="str">
        <x:v>https://pubmed.ncbi.nlm.nih.gov/35512731/</x:v>
      </x:c>
    </x:row>
    <x:row r="6" ht="58" customHeight="1">
      <x:c r="A6" s="164" t="n">
        <x:v>3</x:v>
      </x:c>
      <x:c r="B6" s="48" t="str">
        <x:v>de Hesselle等，2024</x:v>
      </x:c>
      <x:c r="C6" s="48" t="str">
        <x:v>Effects of a 14-day social media abstinence on mental health and well-being</x:v>
      </x:c>
      <x:c r="D6" s="48" t="str">
        <x:v>BMC Psychology</x:v>
      </x:c>
      <x:c r="E6" s="48" t="str">
        <x:v>实验研究</x:v>
      </x:c>
      <x:c r="F6" s="48" t="str">
        <x:v>14天暂停、屏幕时间、焦虑、FOMO与身体意象</x:v>
      </x:c>
      <x:c r="G6" s="49" t="str">
        <x:v>https://pmc.ncbi.nlm.nih.gov/articles/PMC10936093/</x:v>
      </x:c>
    </x:row>
    <x:row r="7" ht="58" customHeight="1">
      <x:c r="A7" s="164" t="n">
        <x:v>4</x:v>
      </x:c>
      <x:c r="B7" s="48" t="str">
        <x:v>Lemahieu等，2025</x:v>
      </x:c>
      <x:c r="C7" s="48" t="str">
        <x:v>The effects of social media abstinence on affective well-being and life satisfaction: a systematic review and meta-analysis</x:v>
      </x:c>
      <x:c r="D7" s="48" t="str">
        <x:v>Scientific Reports</x:v>
      </x:c>
      <x:c r="E7" s="48" t="str">
        <x:v>系统综述与元分析</x:v>
      </x:c>
      <x:c r="F7" s="48" t="str">
        <x:v>数字戒断或社交媒体暂停的平均效应与个体差异</x:v>
      </x:c>
      <x:c r="G7" s="49" t="str">
        <x:v>https://pmc.ncbi.nlm.nih.gov/articles/PMC11880199/</x:v>
      </x:c>
    </x:row>
    <x:row r="8" ht="58" customHeight="1">
      <x:c r="A8" s="164" t="n">
        <x:v>5</x:v>
      </x:c>
      <x:c r="B8" s="48" t="str">
        <x:v>Ramadhan等，2024</x:v>
      </x:c>
      <x:c r="C8" s="48" t="str">
        <x:v>Impacts of digital social media detox for mental health: A systematic review and meta-analysis</x:v>
      </x:c>
      <x:c r="D8" s="48" t="str">
        <x:v>Journal of Public Health</x:v>
      </x:c>
      <x:c r="E8" s="48" t="str">
        <x:v>系统综述与元分析</x:v>
      </x:c>
      <x:c r="F8" s="48" t="str">
        <x:v>数字排毒、抑郁、压力、生活满意度和幸福感</x:v>
      </x:c>
      <x:c r="G8" s="49" t="str">
        <x:v>https://pubmed.ncbi.nlm.nih.gov/39280291/</x:v>
      </x:c>
    </x:row>
    <x:row r="9" ht="58" customHeight="1">
      <x:c r="A9" s="164" t="n">
        <x:v>6</x:v>
      </x:c>
      <x:c r="B9" s="48" t="str">
        <x:v>Olson等，2022</x:v>
      </x:c>
      <x:c r="C9" s="48" t="str">
        <x:v>A Nudge-Based Intervention to Reduce Problematic Smartphone Use</x:v>
      </x:c>
      <x:c r="D9" s="48" t="str">
        <x:v>International Journal of Mental Health and Addiction</x:v>
      </x:c>
      <x:c r="E9" s="48" t="str">
        <x:v>干预研究</x:v>
      </x:c>
      <x:c r="F9" s="48" t="str">
        <x:v>使用反馈、摩擦设计、减少问题性手机使用和改善睡眠</x:v>
      </x:c>
      <x:c r="G9" s="49" t="str">
        <x:v>https://pubmed.ncbi.nlm.nih.gov/35600564/</x:v>
      </x:c>
    </x:row>
    <x:row r="10" ht="58" customHeight="1">
      <x:c r="A10" s="164" t="n">
        <x:v>7</x:v>
      </x:c>
      <x:c r="B10" s="48" t="str">
        <x:v>Pieh等，2025</x:v>
      </x:c>
      <x:c r="C10" s="48" t="str">
        <x:v>Smartphone screen time reduction improves mental health: a randomized controlled trial</x:v>
      </x:c>
      <x:c r="D10" s="48" t="str">
        <x:v>BMC Medicine</x:v>
      </x:c>
      <x:c r="E10" s="48" t="str">
        <x:v>随机对照试验</x:v>
      </x:c>
      <x:c r="F10" s="48" t="str">
        <x:v>逐步减少屏幕时间、睡眠、压力与幸福感</x:v>
      </x:c>
      <x:c r="G10" s="49" t="str">
        <x:v>https://pmc.ncbi.nlm.nih.gov/articles/PMC11846175/</x:v>
      </x:c>
    </x:row>
    <x:row r="11" ht="58" customHeight="1">
      <x:c r="A11" s="164" t="n">
        <x:v>8</x:v>
      </x:c>
      <x:c r="B11" s="48" t="str">
        <x:v>He等，2020</x:v>
      </x:c>
      <x:c r="C11" s="48" t="str">
        <x:v>Effect of restricting bedtime mobile phone use on sleep, arousal, mood, and working memory</x:v>
      </x:c>
      <x:c r="D11" s="48" t="str">
        <x:v>PLOS ONE</x:v>
      </x:c>
      <x:c r="E11" s="48" t="str">
        <x:v>随机试点试验</x:v>
      </x:c>
      <x:c r="F11" s="48" t="str">
        <x:v>睡前30分钟限制手机使用、睡眠与睡前唤醒</x:v>
      </x:c>
      <x:c r="G11" s="49" t="str">
        <x:v>https://pubmed.ncbi.nlm.nih.gov/32040492/</x:v>
      </x:c>
    </x:row>
    <x:row r="12" ht="58" customHeight="1">
      <x:c r="A12" s="164" t="n">
        <x:v>9</x:v>
      </x:c>
      <x:c r="B12" s="48" t="str">
        <x:v>Tu等，2023</x:v>
      </x:c>
      <x:c r="C12" s="48" t="str">
        <x:v>Can restricting while-in-bed smartphone use improve sleep quality?</x:v>
      </x:c>
      <x:c r="D12" s="48" t="str">
        <x:v>Journal of Sleep Research</x:v>
      </x:c>
      <x:c r="E12" s="48" t="str">
        <x:v>随机试验</x:v>
      </x:c>
      <x:c r="F12" s="48" t="str">
        <x:v>床上手机使用限制、睡前认知唤醒和睡眠质量</x:v>
      </x:c>
      <x:c r="G12" s="49" t="str">
        <x:v>https://pubmed.ncbi.nlm.nih.gov/37542973/</x:v>
      </x:c>
    </x:row>
    <x:row r="13" ht="58" customHeight="1">
      <x:c r="A13" s="164" t="n">
        <x:v>10</x:v>
      </x:c>
      <x:c r="B13" s="48" t="str">
        <x:v>Fitz等，2019</x:v>
      </x:c>
      <x:c r="C13" s="48" t="str">
        <x:v>Batching smartphone notifications can improve well-being</x:v>
      </x:c>
      <x:c r="D13" s="48" t="str">
        <x:v>Computers in Human Behavior</x:v>
      </x:c>
      <x:c r="E13" s="48" t="str">
        <x:v>实验研究</x:v>
      </x:c>
      <x:c r="F13" s="48" t="str">
        <x:v>通知分批、注意、压力、控制感与FOMO</x:v>
      </x:c>
      <x:c r="G13" s="49" t="str">
        <x:v>https://doi.org/10.1016/j.chb.2019.07.016</x:v>
      </x:c>
    </x:row>
    <x:row r="14" ht="58" customHeight="1">
      <x:c r="A14" s="164" t="n">
        <x:v>11</x:v>
      </x:c>
      <x:c r="B14" s="48" t="str">
        <x:v>Dekker等，2025</x:v>
      </x:c>
      <x:c r="C14" s="48" t="str">
        <x:v>Beyond the Buzz: Investigating the Effects of a Notification-Disabling Intervention</x:v>
      </x:c>
      <x:c r="D14" s="48" t="str">
        <x:v>Media Psychology</x:v>
      </x:c>
      <x:c r="E14" s="48" t="str">
        <x:v>预注册随机对照试验</x:v>
      </x:c>
      <x:c r="F14" s="48" t="str">
        <x:v>关闭推送并不必然减少使用；通知管理需结合其他行为调整</x:v>
      </x:c>
      <x:c r="G14" s="49" t="str">
        <x:v>https://www.tandfonline.com/doi/full/10.1080/15213269.2024.2334025</x:v>
      </x:c>
    </x:row>
    <x:row r="15" ht="58" customHeight="1">
      <x:c r="A15" s="164" t="n">
        <x:v>12</x:v>
      </x:c>
      <x:c r="B15" s="48" t="str">
        <x:v>Ohly与Bastin，2023</x:v>
      </x:c>
      <x:c r="C15" s="48" t="str">
        <x:v>Effects of task interruptions caused by notifications from communication applications on strain and performance</x:v>
      </x:c>
      <x:c r="D15" s="48" t="str">
        <x:v>Journal of Occupational Health Psychology</x:v>
      </x:c>
      <x:c r="E15" s="48" t="str">
        <x:v>现场实验研究</x:v>
      </x:c>
      <x:c r="F15" s="48" t="str">
        <x:v>通知中断、任务表现和压力负荷</x:v>
      </x:c>
      <x:c r="G15" s="49" t="str">
        <x:v>https://pmc.ncbi.nlm.nih.gov/articles/PMC10244611/</x:v>
      </x:c>
    </x:row>
    <x:row r="16" ht="58" customHeight="1">
      <x:c r="A16" s="164" t="n">
        <x:v>13</x:v>
      </x:c>
      <x:c r="B16" s="48" t="str">
        <x:v>Upshaw等，2022</x:v>
      </x:c>
      <x:c r="C16" s="48" t="str">
        <x:v>The effects of smartphone notifications on cognitive control and attention</x:v>
      </x:c>
      <x:c r="D16" s="48" t="str">
        <x:v>Scientific Reports</x:v>
      </x:c>
      <x:c r="E16" s="48" t="str">
        <x:v>实验研究</x:v>
      </x:c>
      <x:c r="F16" s="48" t="str">
        <x:v>通知对注意与认知控制的影响</x:v>
      </x:c>
      <x:c r="G16" s="49" t="str">
        <x:v>https://pmc.ncbi.nlm.nih.gov/articles/PMC9671478/</x:v>
      </x:c>
    </x:row>
    <x:row r="17" ht="58" customHeight="1">
      <x:c r="A17" s="164" t="n">
        <x:v>14</x:v>
      </x:c>
      <x:c r="B17" s="48" t="str">
        <x:v>APA，2023</x:v>
      </x:c>
      <x:c r="C17" s="48" t="str">
        <x:v>Health advisory on social media use in adolescence</x:v>
      </x:c>
      <x:c r="D17" s="48" t="str">
        <x:v>American Psychological Association</x:v>
      </x:c>
      <x:c r="E17" s="48" t="str">
        <x:v>专业机构健康建议</x:v>
      </x:c>
      <x:c r="F17" s="48" t="str">
        <x:v>睡眠、身体活动、内容监督、数字素养和使用边界</x:v>
      </x:c>
      <x:c r="G17" s="49" t="str">
        <x:v>https://www.apa.org/topics/social-media-internet/health-advisory-adolescent-social-media-use</x:v>
      </x:c>
    </x:row>
    <x:row r="18" ht="58" customHeight="1">
      <x:c r="A18" s="164" t="n">
        <x:v>15</x:v>
      </x:c>
      <x:c r="B18" s="48" t="str">
        <x:v>WHO/Europe，2025</x:v>
      </x:c>
      <x:c r="C18" s="48" t="str">
        <x:v>Addressing the digital determinants of youth mental health and well-being</x:v>
      </x:c>
      <x:c r="D18" s="48" t="str">
        <x:v>World Health Organization Regional Office for Europe</x:v>
      </x:c>
      <x:c r="E18" s="48" t="str">
        <x:v>政策简报</x:v>
      </x:c>
      <x:c r="F18" s="48" t="str">
        <x:v>数字环境、双向影响、个体差异和系统性保护</x:v>
      </x:c>
      <x:c r="G18" s="49" t="str">
        <x:v>https://www.who.int/europe/publications/i/item/WHO-EURO-2025-12187-51959-79685</x:v>
      </x:c>
    </x:row>
    <x:row r="19" ht="58" customHeight="1">
      <x:c r="A19" s="164" t="n">
        <x:v>16</x:v>
      </x:c>
      <x:c r="B19" s="48" t="str">
        <x:v>WHO/Europe，2024</x:v>
      </x:c>
      <x:c r="C19" s="48" t="str">
        <x:v>Teens, screens and mental health</x:v>
      </x:c>
      <x:c r="D19" s="48" t="str">
        <x:v>World Health Organization Regional Office for Europe</x:v>
      </x:c>
      <x:c r="E19" s="48" t="str">
        <x:v>公共卫生资料</x:v>
      </x:c>
      <x:c r="F19" s="48" t="str">
        <x:v>问题性社交媒体使用、睡眠与学校表现</x:v>
      </x:c>
      <x:c r="G19" s="49" t="str">
        <x:v>https://www.who.int/europe/news/item/25-09-2024-teens--screens-and-mental-health</x:v>
      </x:c>
    </x:row>
    <x:row r="20" ht="58" customHeight="1">
      <x:c r="A20" s="164" t="n">
        <x:v>17</x:v>
      </x:c>
      <x:c r="B20" s="48" t="str">
        <x:v>Seekis等，2025</x:v>
      </x:c>
      <x:c r="C20" s="48" t="str">
        <x:v>To detox or not to detox? The impact of different social media detox strategies on body image and well-being</x:v>
      </x:c>
      <x:c r="D20" s="48" t="str">
        <x:v>Body Image</x:v>
      </x:c>
      <x:c r="E20" s="48" t="str">
        <x:v>实验研究</x:v>
      </x:c>
      <x:c r="F20" s="48" t="str">
        <x:v>不同暂停策略、身体意象和个体化选择</x:v>
      </x:c>
      <x:c r="G20" s="49" t="str">
        <x:v>https://pubmed.ncbi.nlm.nih.gov/39798384/</x:v>
      </x:c>
    </x:row>
    <x:row r="21" ht="58" customHeight="1">
      <x:c r="A21" s="164" t="n">
        <x:v>18</x:v>
      </x:c>
      <x:c r="B21" s="48" t="str">
        <x:v>Maerevoet等，2025</x:v>
      </x:c>
      <x:c r="C21" s="48" t="str">
        <x:v>Causal effects of social media use on self-esteem and body image</x:v>
      </x:c>
      <x:c r="D21" s="48" t="str">
        <x:v>Behaviour &amp; Information Technology</x:v>
      </x:c>
      <x:c r="E21" s="48" t="str">
        <x:v>实验研究</x:v>
      </x:c>
      <x:c r="F21" s="48" t="str">
        <x:v>每日使用上限与自尊、身体意象变化</x:v>
      </x:c>
      <x:c r="G21" s="49" t="str">
        <x:v>https://pubmed.ncbi.nlm.nih.gov/40520283/</x:v>
      </x:c>
    </x:row>
    <x:row r="22" ht="58" customHeight="1">
      <x:c r="A22" s="164" t="n">
        <x:v>19</x:v>
      </x:c>
      <x:c r="B22" s="48" t="str">
        <x:v>Castelo等，2025</x:v>
      </x:c>
      <x:c r="C22" s="48" t="str">
        <x:v>Blocking mobile internet on smartphones improves sustained attention, mental health, and subjective well-being</x:v>
      </x:c>
      <x:c r="D22" s="48" t="str">
        <x:v>PNAS Nexus</x:v>
      </x:c>
      <x:c r="E22" s="48" t="str">
        <x:v>随机干预研究</x:v>
      </x:c>
      <x:c r="F22" s="48" t="str">
        <x:v>增加访问摩擦、减少持续联网与注意恢复</x:v>
      </x:c>
      <x:c r="G22" s="49" t="str">
        <x:v>https://academic.oup.com/pnasnexus/article/4/2/pgaf017/8016017</x:v>
      </x:c>
    </x:row>
    <x:row r="23" ht="58" customHeight="1">
      <x:c r="A23" s="165" t="n">
        <x:v>20</x:v>
      </x:c>
      <x:c r="B23" s="51" t="str">
        <x:v>Wadsley等，2023</x:v>
      </x:c>
      <x:c r="C23" s="51" t="str">
        <x:v>Restricting social networking site use for one week produces both benefits and costs</x:v>
      </x:c>
      <x:c r="D23" s="51" t="str">
        <x:v>PLOS ONE</x:v>
      </x:c>
      <x:c r="E23" s="51" t="str">
        <x:v>实验研究</x:v>
      </x:c>
      <x:c r="F23" s="51" t="str">
        <x:v>限制使用的复杂效果、连接需要和反弹风险</x:v>
      </x:c>
      <x:c r="G23" s="52" t="str">
        <x:v>https://pmc.ncbi.nlm.nih.gov/articles/PMC10631628/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2a636bb41304d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0" hidden="0" customWidth="1"/>
    <x:col min="4" max="4" width="54" hidden="0" customWidth="1"/>
  </x:cols>
  <x:sheetData>
    <x:row r="1">
      <x:c r="A1" s="5" t="str">
        <x:v>行动建议库｜与其他分类的边界</x:v>
      </x:c>
      <x:c r="B1" s="5"/>
      <x:c r="C1" s="5"/>
      <x:c r="D1" s="5"/>
    </x:row>
    <x:row r="3">
      <x:c r="A3" s="21" t="str">
        <x:v>分类</x:v>
      </x:c>
      <x:c r="B3" s="21" t="str">
        <x:v>主要回答</x:v>
      </x:c>
      <x:c r="C3" s="21" t="str">
        <x:v>本类可以提及</x:v>
      </x:c>
      <x:c r="D3" s="21" t="str">
        <x:v>本类不展开</x:v>
      </x:c>
    </x:row>
    <x:row r="4" ht="58" customHeight="1">
      <x:c r="A4" s="151" t="str">
        <x:v>行动建议库</x:v>
      </x:c>
      <x:c r="B4" s="117" t="str">
        <x:v>具体怎样调整通知、时段、关注、环境和使用规则</x:v>
      </x:c>
      <x:c r="C4" s="117" t="str">
        <x:v>低风险设置、试验周期和复盘指标</x:v>
      </x:c>
      <x:c r="D4" s="118" t="str">
        <x:v>临床诊断、深层信念和长期价值训练</x:v>
      </x:c>
    </x:row>
    <x:row r="5" ht="58" customHeight="1">
      <x:c r="A5" s="152" t="str">
        <x:v>焦虑类型解释</x:v>
      </x:c>
      <x:c r="B5" s="120" t="str">
        <x:v>为什么会被比较、反馈和算法环境触发</x:v>
      </x:c>
      <x:c r="C5" s="120" t="str">
        <x:v>某行动针对的触发机制</x:v>
      </x:c>
      <x:c r="D5" s="121" t="str">
        <x:v>完整操作步骤</x:v>
      </x:c>
    </x:row>
    <x:row r="6" ht="58" customHeight="1">
      <x:c r="A6" s="152" t="str">
        <x:v>CBT / 心理学方法</x:v>
      </x:c>
      <x:c r="B6" s="120" t="str">
        <x:v>如何记录、检查和调整想法与行为循环</x:v>
      </x:c>
      <x:c r="C6" s="120" t="str">
        <x:v>行动设置可作为行为实验</x:v>
      </x:c>
      <x:c r="D6" s="121" t="str">
        <x:v>单纯系统设置和账号管理</x:v>
      </x:c>
    </x:row>
    <x:row r="7" ht="58" customHeight="1">
      <x:c r="A7" s="152" t="str">
        <x:v>情绪急救步骤</x:v>
      </x:c>
      <x:c r="B7" s="120" t="str">
        <x:v>焦虑最高点的几分钟如何稳定</x:v>
      </x:c>
      <x:c r="C7" s="120" t="str">
        <x:v>暂停信息流可作为第一步</x:v>
      </x:c>
      <x:c r="D7" s="121" t="str">
        <x:v>一周计划、通知配置和长期边界</x:v>
      </x:c>
    </x:row>
    <x:row r="8" ht="58" customHeight="1">
      <x:c r="A8" s="152" t="str">
        <x:v>自我安抚 / 反比较训练</x:v>
      </x:c>
      <x:c r="B8" s="120" t="str">
        <x:v>长期怎样建立更稳定的自我评价</x:v>
      </x:c>
      <x:c r="C8" s="120" t="str">
        <x:v>行动建议可为练习提供环境</x:v>
      </x:c>
      <x:c r="D8" s="121" t="str">
        <x:v>价值澄清、自我同情和持续训练</x:v>
      </x:c>
    </x:row>
    <x:row r="9" ht="58" customHeight="1">
      <x:c r="A9" s="153" t="str">
        <x:v>社交媒体套路拆解</x:v>
      </x:c>
      <x:c r="B9" s="123" t="str">
        <x:v>平台、内容和商业机制如何影响判断</x:v>
      </x:c>
      <x:c r="C9" s="123" t="str">
        <x:v>根据机制选择屏蔽或过滤</x:v>
      </x:c>
      <x:c r="D9" s="124" t="str">
        <x:v>详细行动计划和个人设置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>
      <x:c r="A1" s="5" t="str">
        <x:v>知识库质量检查｜行动建议库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1" t="str">
        <x:v>正式条目总数</x:v>
      </x:c>
      <x:c r="B4" s="157" t="n">
        <x:f>COUNTA('导入表'!A4:A23)</x:f>
        <x:v>20</x:v>
      </x:c>
      <x:c r="C4" s="157" t="str">
        <x:f>IF(B4=20,"通过","需检查")</x:f>
        <x:v>通过</x:v>
      </x:c>
      <x:c r="D4" s="118" t="str">
        <x:v>本版目标：20 条</x:v>
      </x:c>
    </x:row>
    <x:row r="5" ht="28" customHeight="1">
      <x:c r="A5" s="152" t="str">
        <x:v>空标题数量</x:v>
      </x:c>
      <x:c r="B5" s="158" t="n">
        <x:f>COUNTIF('导入表'!A4:A23,"")</x:f>
        <x:v>0</x:v>
      </x:c>
      <x:c r="C5" s="158" t="str">
        <x:f>IF(B5=0,"通过","需修正")</x:f>
        <x:v>通过</x:v>
      </x:c>
      <x:c r="D5" s="121" t="str">
        <x:v>必须为 0</x:v>
      </x:c>
    </x:row>
    <x:row r="6" ht="28" customHeight="1">
      <x:c r="A6" s="152" t="str">
        <x:v>空正文数量</x:v>
      </x:c>
      <x:c r="B6" s="158" t="n">
        <x:f>COUNTIF('导入表'!C4:C23,"")</x:f>
        <x:v>0</x:v>
      </x:c>
      <x:c r="C6" s="158" t="str">
        <x:f>IF(B6=0,"通过","需修正")</x:f>
        <x:v>通过</x:v>
      </x:c>
      <x:c r="D6" s="121" t="str">
        <x:v>必须为 0</x:v>
      </x:c>
    </x:row>
    <x:row r="7" ht="28" customHeight="1">
      <x:c r="A7" s="152" t="str">
        <x:v>分类名称不一致数量</x:v>
      </x:c>
      <x:c r="B7" s="158" t="n">
        <x:f>COUNTIF('导入表'!B4:B23,"&lt;&gt;行动建议库")</x:f>
        <x:v>0</x:v>
      </x:c>
      <x:c r="C7" s="158" t="str">
        <x:f>IF(B7=0,"通过","需修正")</x:f>
        <x:v>通过</x:v>
      </x:c>
      <x:c r="D7" s="121" t="str">
        <x:v>必须为 0</x:v>
      </x:c>
    </x:row>
    <x:row r="8" ht="28" customHeight="1">
      <x:c r="A8" s="152" t="str">
        <x:v>首页推荐数量</x:v>
      </x:c>
      <x:c r="B8" s="158" t="n">
        <x:f>COUNTIF('导入表'!G4:G23,"是")</x:f>
        <x:v>4</x:v>
      </x:c>
      <x:c r="C8" s="158" t="str">
        <x:f>IF(AND(B8&gt;=B4*15%,B8&lt;=B4*25%),"通过","需调整")</x:f>
        <x:v>通过</x:v>
      </x:c>
      <x:c r="D8" s="121" t="str">
        <x:v>建议占总数 15%—25%</x:v>
      </x:c>
    </x:row>
    <x:row r="9" ht="28" customHeight="1">
      <x:c r="A9" s="152" t="str">
        <x:v>首页推荐占比</x:v>
      </x:c>
      <x:c r="B9" s="169" t="n">
        <x:f>B8/B4</x:f>
        <x:v>0.2</x:v>
      </x:c>
      <x:c r="C9" s="158" t="str">
        <x:f>IF(AND(B9&gt;=15%,B9&lt;=25%),"通过","需调整")</x:f>
        <x:v>通过</x:v>
      </x:c>
      <x:c r="D9" s="121" t="str">
        <x:v>建议 15%—25%</x:v>
      </x:c>
    </x:row>
    <x:row r="10" ht="28" customHeight="1">
      <x:c r="A10" s="152" t="str">
        <x:v>无效推荐值数量</x:v>
      </x:c>
      <x:c r="B10" s="158" t="n">
        <x:f>COUNTIF('导入表'!G4:G23,"&lt;&gt;是")-COUNTIF('导入表'!G4:G23,"否")</x:f>
        <x:v>0</x:v>
      </x:c>
      <x:c r="C10" s="158" t="str">
        <x:f>IF(B10=0,"通过","需修正")</x:f>
        <x:v>通过</x:v>
      </x:c>
      <x:c r="D10" s="121" t="str">
        <x:v>只能为“是”或“否”</x:v>
      </x:c>
    </x:row>
    <x:row r="11" ht="28" customHeight="1">
      <x:c r="A11" s="152" t="str">
        <x:v>重复标题数量</x:v>
      </x:c>
      <x:c r="B11" s="158" t="n">
        <x:v>0</x:v>
      </x:c>
      <x:c r="C11" s="158" t="str">
        <x:f>IF(B11=0,"通过","需修正")</x:f>
        <x:v>通过</x:v>
      </x:c>
      <x:c r="D11" s="121" t="str">
        <x:v>必须为 0</x:v>
      </x:c>
    </x:row>
    <x:row r="12" ht="28" customHeight="1">
      <x:c r="A12" s="152" t="str">
        <x:v>标题最大长度</x:v>
      </x:c>
      <x:c r="B12" s="158" t="n">
        <x:v>21</x:v>
      </x:c>
      <x:c r="C12" s="158" t="str">
        <x:f>IF(B12&lt;=60,"通过","需修正")</x:f>
        <x:v>通过</x:v>
      </x:c>
      <x:c r="D12" s="121" t="str">
        <x:v>≤60 字</x:v>
      </x:c>
    </x:row>
    <x:row r="13" ht="28" customHeight="1">
      <x:c r="A13" s="152" t="str">
        <x:v>正文最短长度</x:v>
      </x:c>
      <x:c r="B13" s="158" t="n">
        <x:v>420</x:v>
      </x:c>
      <x:c r="C13" s="158" t="str">
        <x:f>IF(B13&gt;=400,"通过","需检查")</x:f>
        <x:v>通过</x:v>
      </x:c>
      <x:c r="D13" s="121" t="str">
        <x:v>建议 ≥400 字</x:v>
      </x:c>
    </x:row>
    <x:row r="14" ht="28" customHeight="1">
      <x:c r="A14" s="152" t="str">
        <x:v>正文最大长度</x:v>
      </x:c>
      <x:c r="B14" s="158" t="n">
        <x:v>493</x:v>
      </x:c>
      <x:c r="C14" s="158" t="str">
        <x:f>IF(B14&lt;=5000,"通过","需修正")</x:f>
        <x:v>通过</x:v>
      </x:c>
      <x:c r="D14" s="121" t="str">
        <x:v>≤5000 字</x:v>
      </x:c>
    </x:row>
    <x:row r="15" ht="28" customHeight="1">
      <x:c r="A15" s="152" t="str">
        <x:v>单条最多标签数</x:v>
      </x:c>
      <x:c r="B15" s="158" t="n">
        <x:v>4</x:v>
      </x:c>
      <x:c r="C15" s="158" t="str">
        <x:f>IF(B15&lt;=5,"通过","需修正")</x:f>
        <x:v>通过</x:v>
      </x:c>
      <x:c r="D15" s="121" t="str">
        <x:v>≤5 个</x:v>
      </x:c>
    </x:row>
    <x:row r="16" ht="28" customHeight="1">
      <x:c r="A16" s="152" t="str">
        <x:v>最长单个标签</x:v>
      </x:c>
      <x:c r="B16" s="158" t="n">
        <x:v>5</x:v>
      </x:c>
      <x:c r="C16" s="158" t="str">
        <x:f>IF(B16&lt;=10,"通过","需修正")</x:f>
        <x:v>通过</x:v>
      </x:c>
      <x:c r="D16" s="121" t="str">
        <x:v>≤10 字</x:v>
      </x:c>
    </x:row>
    <x:row r="17" ht="28" customHeight="1">
      <x:c r="A17" s="152" t="str">
        <x:v>适用场景最大长度</x:v>
      </x:c>
      <x:c r="B17" s="158" t="n">
        <x:v>34</x:v>
      </x:c>
      <x:c r="C17" s="158" t="str">
        <x:f>IF(B17&lt;=200,"通过","需修正")</x:f>
        <x:v>通过</x:v>
      </x:c>
      <x:c r="D17" s="121" t="str">
        <x:v>≤200 字</x:v>
      </x:c>
    </x:row>
    <x:row r="18" ht="28" customHeight="1">
      <x:c r="A18" s="153" t="str">
        <x:v>来源说明最大长度</x:v>
      </x:c>
      <x:c r="B18" s="159" t="n">
        <x:v>51</x:v>
      </x:c>
      <x:c r="C18" s="159" t="str">
        <x:f>IF(B18&lt;=200,"通过","需修正")</x:f>
        <x:v>通过</x:v>
      </x:c>
      <x:c r="D18" s="124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